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Calendar" sheetId="1" r:id="rId4"/>
    <sheet state="visible" name="2026 Master List" sheetId="2" r:id="rId5"/>
    <sheet state="visible" name="2026 Rookie Draft Picks" sheetId="3" r:id="rId6"/>
    <sheet state="visible" name="2027 Rookie Draft Picks" sheetId="4" r:id="rId7"/>
    <sheet state="visible" name="Payments" sheetId="5" r:id="rId8"/>
    <sheet state="visible" name="Trades" sheetId="6" r:id="rId9"/>
    <sheet state="visible" name="Parlays" sheetId="7" r:id="rId10"/>
    <sheet state="visible" name="Tax Dat Ass" sheetId="8" r:id="rId11"/>
    <sheet state="visible" name="True Record 2025" sheetId="9" r:id="rId12"/>
    <sheet state="hidden" name="Sheet14" sheetId="10" r:id="rId13"/>
    <sheet state="hidden" name="True Record 2024" sheetId="11" r:id="rId14"/>
    <sheet state="hidden" name="2025 Rookie Draft Picks" sheetId="12" r:id="rId15"/>
    <sheet state="hidden" name="2024 Rookie Draft Picks" sheetId="13" r:id="rId16"/>
    <sheet state="visible" name="Rule Proposals" sheetId="14" r:id="rId17"/>
    <sheet state="visible" name="Rules" sheetId="15" r:id="rId18"/>
    <sheet state="hidden" name="Trades_Old format" sheetId="16" r:id="rId19"/>
    <sheet state="hidden" name="Old 2024 Master List" sheetId="17" r:id="rId20"/>
    <sheet state="visible" name="Team name mapping" sheetId="18" r:id="rId21"/>
  </sheets>
  <definedNames>
    <definedName name="Data">'2026 Master List'!$A$5:$M$337</definedName>
    <definedName name="Abad">'Old 2024 Master List'!$B$10:$P$37</definedName>
    <definedName hidden="1" localSheetId="1" name="_xlnm._FilterDatabase">'2026 Master List'!$A$5:$M$352</definedName>
    <definedName hidden="1" localSheetId="16" name="_xlnm._FilterDatabase">'Old 2024 Master List'!$B$9:$P$661</definedName>
    <definedName hidden="1" name="Google_Sheet_Link_1576974503">Data</definedName>
    <definedName hidden="1" name="Google_Sheet_Link_954312206">Abad</definedName>
    <definedName hidden="1" localSheetId="16" name="Z_A31E336E_5774_4B3D_82F8_2FC18C69DFF2_.wvu.FilterData">'Old 2024 Master List'!$B$9:$P$371</definedName>
    <definedName hidden="1" localSheetId="16" name="Z_73185844_5EF9_46FF_91E5_8940E27B5D6B_.wvu.FilterData">'Old 2024 Master List'!$B$9:$P$371</definedName>
    <definedName hidden="1" localSheetId="16" name="Z_BEC3E6BD_A8D2_4374_8679_63859B5CDF9D_.wvu.FilterData">'Old 2024 Master List'!$B$5:$O$335</definedName>
  </definedNames>
  <calcPr/>
  <customWorkbookViews>
    <customWorkbookView activeSheetId="0" maximized="1" windowHeight="0" windowWidth="0" guid="{A31E336E-5774-4B3D-82F8-2FC18C69DFF2}" name="Filter 2"/>
    <customWorkbookView activeSheetId="0" maximized="1" windowHeight="0" windowWidth="0" guid="{73185844-5EF9-46FF-91E5-8940E27B5D6B}" name="Filter 3"/>
    <customWorkbookView activeSheetId="0" maximized="1" windowHeight="0" windowWidth="0" guid="{BEC3E6BD-A8D2-4374-8679-63859B5CDF9D}" name="Filter 1"/>
  </customWorkbookViews>
  <pivotCaches>
    <pivotCache cacheId="0" r:id="rId22"/>
  </pivotCaches>
  <extLst>
    <ext uri="GoogleSheetsCustomDataVersion2">
      <go:sheetsCustomData xmlns:go="http://customooxmlschemas.google.com/" r:id="rId23" roundtripDataChecksum="z8blnMQRY46Lty5lWZq4VulS4yMezdAdtIMLqAU3b+E="/>
    </ext>
  </extLst>
</workbook>
</file>

<file path=xl/sharedStrings.xml><?xml version="1.0" encoding="utf-8"?>
<sst xmlns="http://schemas.openxmlformats.org/spreadsheetml/2006/main" count="4734" uniqueCount="1025">
  <si>
    <t>Season Milestone</t>
  </si>
  <si>
    <t>Yearly Milestone</t>
  </si>
  <si>
    <t>2026 Date**</t>
  </si>
  <si>
    <t>IFFL Off-Season Activity</t>
  </si>
  <si>
    <t>Approximate future timing of offseason activities based on yearly event or date</t>
  </si>
  <si>
    <t>Planned date for 2026 off-season activities. Dates are subject to change</t>
  </si>
  <si>
    <t>Start of Off-Season</t>
  </si>
  <si>
    <t>Day after Super Bowl</t>
  </si>
  <si>
    <t>Send Auction Values Sheet</t>
  </si>
  <si>
    <t>1st Day of Offseason</t>
  </si>
  <si>
    <t>Trade Window Opens</t>
  </si>
  <si>
    <t>Rookie Draft Pick Lottery</t>
  </si>
  <si>
    <t>Mid February</t>
  </si>
  <si>
    <t>NFL Draft</t>
  </si>
  <si>
    <t>Draft Date</t>
  </si>
  <si>
    <t>April 23rd</t>
  </si>
  <si>
    <t>New Rule Submission Deadline</t>
  </si>
  <si>
    <t>New Rule Communication</t>
  </si>
  <si>
    <t>New Rule Voting</t>
  </si>
  <si>
    <t>Rookie Draft</t>
  </si>
  <si>
    <t>NFL Training Camp Opens</t>
  </si>
  <si>
    <t>Select Keepers</t>
  </si>
  <si>
    <t>2-4 Days prior to IFFL Auction Draft</t>
  </si>
  <si>
    <t>IFFL Auction Draft</t>
  </si>
  <si>
    <t>Last Monday of August</t>
  </si>
  <si>
    <t>League Dues Paid</t>
  </si>
  <si>
    <t>Auction Draft</t>
  </si>
  <si>
    <t>NFL Season Start</t>
  </si>
  <si>
    <t>1st Day of NFL Season</t>
  </si>
  <si>
    <t>Rosters Frozen</t>
  </si>
  <si>
    <t>NFL Week 17</t>
  </si>
  <si>
    <t>MASTER LIST UPDATED FOR 2026</t>
  </si>
  <si>
    <t>Team</t>
  </si>
  <si>
    <t>Position</t>
  </si>
  <si>
    <t xml:space="preserve">Player </t>
  </si>
  <si>
    <t>2026 Price</t>
  </si>
  <si>
    <t>2027 Price</t>
  </si>
  <si>
    <t>2028 Price</t>
  </si>
  <si>
    <t>Original Price</t>
  </si>
  <si>
    <t>Purchase Year</t>
  </si>
  <si>
    <t>Contract Year</t>
  </si>
  <si>
    <t>Player Pool</t>
  </si>
  <si>
    <t>Rookie Round</t>
  </si>
  <si>
    <t>Draft Year</t>
  </si>
  <si>
    <t>Trade History</t>
  </si>
  <si>
    <t>A. Zurek</t>
  </si>
  <si>
    <t>WR</t>
  </si>
  <si>
    <t>Stefon Diggs</t>
  </si>
  <si>
    <t>Auction</t>
  </si>
  <si>
    <t>Chris Godwin</t>
  </si>
  <si>
    <t>Ricky Pearsall</t>
  </si>
  <si>
    <t>RB</t>
  </si>
  <si>
    <t>Tyrone Tracy Jr</t>
  </si>
  <si>
    <t>via Bill</t>
  </si>
  <si>
    <t>Josh Downs</t>
  </si>
  <si>
    <t>QB</t>
  </si>
  <si>
    <t>Cam Ward</t>
  </si>
  <si>
    <t>Draft Pick</t>
  </si>
  <si>
    <t>via Cantone, Ryan</t>
  </si>
  <si>
    <t>Cedric Tillman</t>
  </si>
  <si>
    <t>TE</t>
  </si>
  <si>
    <t>Jake Ferguson</t>
  </si>
  <si>
    <t>Matthew Stafford</t>
  </si>
  <si>
    <t>Kyle Monangai</t>
  </si>
  <si>
    <t>Free Agent</t>
  </si>
  <si>
    <t>Omarion Hampton</t>
  </si>
  <si>
    <t>Dalton Kincaid</t>
  </si>
  <si>
    <t>Tyjae Spears</t>
  </si>
  <si>
    <t>Jaxson Dart</t>
  </si>
  <si>
    <t>Matthew Golden</t>
  </si>
  <si>
    <t>Jayden Higgins</t>
  </si>
  <si>
    <t>via Dugan, Jason, Bill</t>
  </si>
  <si>
    <t>2026 1st Round Pick</t>
  </si>
  <si>
    <t>via M. Zurek, Ryan</t>
  </si>
  <si>
    <t>2026 2nd Round Pick</t>
  </si>
  <si>
    <t>via Cantone, Abad</t>
  </si>
  <si>
    <t>Jaylen Wright</t>
  </si>
  <si>
    <t>Tre Tucker</t>
  </si>
  <si>
    <t>Jaxon Smith-Njigba</t>
  </si>
  <si>
    <t>Abad</t>
  </si>
  <si>
    <t>JaMarr Chase</t>
  </si>
  <si>
    <t>Justin Jefferson</t>
  </si>
  <si>
    <t>James Cook</t>
  </si>
  <si>
    <t>Patrick Mahomes</t>
  </si>
  <si>
    <t>Chase Brown</t>
  </si>
  <si>
    <t>Jerry Jeudy</t>
  </si>
  <si>
    <t>Caleb Williams</t>
  </si>
  <si>
    <t>Travis Kelce</t>
  </si>
  <si>
    <t>Aaron Jones</t>
  </si>
  <si>
    <t>Deebo Samuel</t>
  </si>
  <si>
    <t>Jordan Mason</t>
  </si>
  <si>
    <t>Mark Andrews</t>
  </si>
  <si>
    <t>Marvin Mims Jr</t>
  </si>
  <si>
    <t>via Faybik, M. Zurek</t>
  </si>
  <si>
    <t>via Bill, Ryan</t>
  </si>
  <si>
    <t>Ray Davis</t>
  </si>
  <si>
    <t>Kirk Cousins</t>
  </si>
  <si>
    <t>Samaje Perine</t>
  </si>
  <si>
    <t>Ty Johnson</t>
  </si>
  <si>
    <t>Bam Knight</t>
  </si>
  <si>
    <t>Bill</t>
  </si>
  <si>
    <t>Christian McCaffrey</t>
  </si>
  <si>
    <t>Breece Hall</t>
  </si>
  <si>
    <t>Justin Herbert</t>
  </si>
  <si>
    <t xml:space="preserve">Rashee Rice </t>
  </si>
  <si>
    <t>Baker Mayfield</t>
  </si>
  <si>
    <t>Jaylen Warren</t>
  </si>
  <si>
    <t>Ladd McConkey</t>
  </si>
  <si>
    <t>Braelon Allen</t>
  </si>
  <si>
    <t>Keenan Allen</t>
  </si>
  <si>
    <t>Kaleb Johnson</t>
  </si>
  <si>
    <t>Jayden Blue</t>
  </si>
  <si>
    <t>via Wayne, M. Zurek</t>
  </si>
  <si>
    <t>Jack Bech</t>
  </si>
  <si>
    <t>Dallas Goedert</t>
  </si>
  <si>
    <t>2026 1.04</t>
  </si>
  <si>
    <t>via Faybik</t>
  </si>
  <si>
    <t>Isaiah Likely</t>
  </si>
  <si>
    <t>Brashard Smith</t>
  </si>
  <si>
    <t>Kenneth Gainwell</t>
  </si>
  <si>
    <t>Quinn Ewers</t>
  </si>
  <si>
    <t>Malik Davis</t>
  </si>
  <si>
    <t>Taysom Hill</t>
  </si>
  <si>
    <t>Kendrick Bourne</t>
  </si>
  <si>
    <t>Javonte Williams</t>
  </si>
  <si>
    <t>Cantone</t>
  </si>
  <si>
    <t>C.J. Stroud</t>
  </si>
  <si>
    <t>via Jason, Faybik, Jason</t>
  </si>
  <si>
    <t>Jauan Jennings</t>
  </si>
  <si>
    <t>J.J. McCarthy</t>
  </si>
  <si>
    <t>James Conner</t>
  </si>
  <si>
    <t>Terry McLaurin</t>
  </si>
  <si>
    <t>Daniel Jones</t>
  </si>
  <si>
    <t>Nick Chubb</t>
  </si>
  <si>
    <t>Travis Hunter</t>
  </si>
  <si>
    <t>via Foley</t>
  </si>
  <si>
    <t>Quinshon Judkins</t>
  </si>
  <si>
    <t>via Wayne</t>
  </si>
  <si>
    <t>2026 1.03</t>
  </si>
  <si>
    <t>Colston Loveland</t>
  </si>
  <si>
    <t>Justice Hill</t>
  </si>
  <si>
    <t>Kareem Hunt</t>
  </si>
  <si>
    <t>Woody Marks</t>
  </si>
  <si>
    <t>Tank Bigsby</t>
  </si>
  <si>
    <t>Christian Watson</t>
  </si>
  <si>
    <t>Chimere Dike</t>
  </si>
  <si>
    <t>Chris Brooks</t>
  </si>
  <si>
    <t>Davis Mills</t>
  </si>
  <si>
    <t>Juwan Johnson</t>
  </si>
  <si>
    <t>Quentin Johnston</t>
  </si>
  <si>
    <t>Spencer Rattler</t>
  </si>
  <si>
    <t>Michael Penix</t>
  </si>
  <si>
    <t>Dugan</t>
  </si>
  <si>
    <t>Jordan Love</t>
  </si>
  <si>
    <t>2026 1.01</t>
  </si>
  <si>
    <t>via Dugan</t>
  </si>
  <si>
    <t>Tucker Kraft</t>
  </si>
  <si>
    <t>Rome Odunze</t>
  </si>
  <si>
    <t>Garrett Wilson</t>
  </si>
  <si>
    <t>Jacory Croskey-Merritt</t>
  </si>
  <si>
    <t>Chris Olave</t>
  </si>
  <si>
    <t>Tua Tagovailoa</t>
  </si>
  <si>
    <t>Zach Charbonnet</t>
  </si>
  <si>
    <t>Khalil Shakir</t>
  </si>
  <si>
    <t>Jayden Reed</t>
  </si>
  <si>
    <t>Romeo Doubs</t>
  </si>
  <si>
    <t>Tyler Shough</t>
  </si>
  <si>
    <t>Tory Horton</t>
  </si>
  <si>
    <t>Devin Singletary</t>
  </si>
  <si>
    <t>Jeremy McNichols</t>
  </si>
  <si>
    <t>AJ Barner</t>
  </si>
  <si>
    <t>Isaiah Davis</t>
  </si>
  <si>
    <t>Troy Franklin</t>
  </si>
  <si>
    <t>Tyler Badie</t>
  </si>
  <si>
    <t>Faybik</t>
  </si>
  <si>
    <t>Jaylen Waddle</t>
  </si>
  <si>
    <t>via M. Zurek, Jason</t>
  </si>
  <si>
    <t>Emari Demercado</t>
  </si>
  <si>
    <t>Sam Darnold</t>
  </si>
  <si>
    <t>Bo Nix</t>
  </si>
  <si>
    <t>TJ Hockenson</t>
  </si>
  <si>
    <t>George Kittle</t>
  </si>
  <si>
    <t>Xavier Worthy</t>
  </si>
  <si>
    <t>DeVonta Smith</t>
  </si>
  <si>
    <t>D'Andre Swift</t>
  </si>
  <si>
    <t>Brian Robinson Jr</t>
  </si>
  <si>
    <t>Kyle Pitts</t>
  </si>
  <si>
    <t>George Pickens</t>
  </si>
  <si>
    <t>Hollywood Brown</t>
  </si>
  <si>
    <t>Jordan Addison</t>
  </si>
  <si>
    <t>Jalen Coker</t>
  </si>
  <si>
    <t>Audric Estime</t>
  </si>
  <si>
    <t>Emanuel Wilson</t>
  </si>
  <si>
    <t>Kayshon Boutte</t>
  </si>
  <si>
    <t>Michael Carter</t>
  </si>
  <si>
    <t>Riley Leonard</t>
  </si>
  <si>
    <t>Isaiah Bond</t>
  </si>
  <si>
    <t>Devin Neal</t>
  </si>
  <si>
    <t xml:space="preserve">Bijan Robinson </t>
  </si>
  <si>
    <t>Foley</t>
  </si>
  <si>
    <t>via Abad</t>
  </si>
  <si>
    <t>Zay Flowers</t>
  </si>
  <si>
    <t>Marvin Harrison Jr</t>
  </si>
  <si>
    <t>JK Dobbins</t>
  </si>
  <si>
    <t>Geno Smith</t>
  </si>
  <si>
    <t>Michael Pittman</t>
  </si>
  <si>
    <t>Travis Etienne</t>
  </si>
  <si>
    <t>Rhamondre Stevenson</t>
  </si>
  <si>
    <t>Dylan Sampson</t>
  </si>
  <si>
    <t>Tetairoa McMillan</t>
  </si>
  <si>
    <t>Bayshul Tuten</t>
  </si>
  <si>
    <t>Dillon Gabriel</t>
  </si>
  <si>
    <t>Wan'Dale Robinson</t>
  </si>
  <si>
    <t>Cam Skattebo</t>
  </si>
  <si>
    <t>Kenny Pickett</t>
  </si>
  <si>
    <t>Rashid Shaheed</t>
  </si>
  <si>
    <t>Chris Rodriguez Jr.</t>
  </si>
  <si>
    <t>Brady Cook</t>
  </si>
  <si>
    <t>Malik Washington</t>
  </si>
  <si>
    <t>Hunter Henry</t>
  </si>
  <si>
    <t>Lamar Jackson</t>
  </si>
  <si>
    <t>Jared</t>
  </si>
  <si>
    <t>2026 1.02</t>
  </si>
  <si>
    <t>via Jason, Faybik</t>
  </si>
  <si>
    <t>Trey Lance</t>
  </si>
  <si>
    <t>Brock Purdy</t>
  </si>
  <si>
    <t>Trevor Lawrence</t>
  </si>
  <si>
    <t>Bucky Irving</t>
  </si>
  <si>
    <t>Brian Thomas Jr</t>
  </si>
  <si>
    <t>Jakobi Meyers</t>
  </si>
  <si>
    <t>Brock Bowers</t>
  </si>
  <si>
    <t>CeeDee Lamb</t>
  </si>
  <si>
    <t>Dak Prescott</t>
  </si>
  <si>
    <t>Brandon Aiyuk</t>
  </si>
  <si>
    <t>Ashton Jeanty</t>
  </si>
  <si>
    <t>Luther Burden</t>
  </si>
  <si>
    <t>Elic Ayomanor</t>
  </si>
  <si>
    <t>Pat Bryant</t>
  </si>
  <si>
    <t>Parker Washington</t>
  </si>
  <si>
    <t>Trevor Etienne</t>
  </si>
  <si>
    <t>Malik Willis</t>
  </si>
  <si>
    <t>Sean Tucker</t>
  </si>
  <si>
    <t>Alec Pierce</t>
  </si>
  <si>
    <t>Dont'e Thornton Jr</t>
  </si>
  <si>
    <t>Isaac TeSlaa</t>
  </si>
  <si>
    <t>Jason</t>
  </si>
  <si>
    <t>Amon-Ra St. Brown</t>
  </si>
  <si>
    <t>Drake London</t>
  </si>
  <si>
    <t>Nico Collins</t>
  </si>
  <si>
    <t>Chuba Hubbard</t>
  </si>
  <si>
    <t>Joe Flacco</t>
  </si>
  <si>
    <t>Derrick Henry</t>
  </si>
  <si>
    <t>Jared Goff</t>
  </si>
  <si>
    <t>Kenneth Walker III</t>
  </si>
  <si>
    <t xml:space="preserve">Sam Laporta </t>
  </si>
  <si>
    <t>Rico Dowdle</t>
  </si>
  <si>
    <t>AJ Brown</t>
  </si>
  <si>
    <t>Jacoby Brissett</t>
  </si>
  <si>
    <t>Calvin Ridley</t>
  </si>
  <si>
    <t>Theo Johnson</t>
  </si>
  <si>
    <t>Harold Fannin Jr.</t>
  </si>
  <si>
    <t>Keon Coleman</t>
  </si>
  <si>
    <t>Mike Evans</t>
  </si>
  <si>
    <t>Austin Ekeler</t>
  </si>
  <si>
    <t>KaVontae Turpin</t>
  </si>
  <si>
    <t>Andrei Iosivas</t>
  </si>
  <si>
    <t>Brenton Strange</t>
  </si>
  <si>
    <t>Keaton Mitchell</t>
  </si>
  <si>
    <t>Mac Jones</t>
  </si>
  <si>
    <t>M. Zurek</t>
  </si>
  <si>
    <t>via Foley, Cantone</t>
  </si>
  <si>
    <t>Josh Allen</t>
  </si>
  <si>
    <t>Jahmyr Gibbs</t>
  </si>
  <si>
    <t>Trey McBride</t>
  </si>
  <si>
    <t>Kyren Williams</t>
  </si>
  <si>
    <t>Jameson Williams</t>
  </si>
  <si>
    <t>Jayden Daniels</t>
  </si>
  <si>
    <t>Blake Corum</t>
  </si>
  <si>
    <t>Saquon Barkley</t>
  </si>
  <si>
    <t>Davante Adams</t>
  </si>
  <si>
    <t>Jalen Milroe</t>
  </si>
  <si>
    <t>Joe Mixon</t>
  </si>
  <si>
    <t>Phil Mafah</t>
  </si>
  <si>
    <t>Joe Milton</t>
  </si>
  <si>
    <t>Tanner McKee</t>
  </si>
  <si>
    <t>Justin Fields</t>
  </si>
  <si>
    <t>Zach Ertz</t>
  </si>
  <si>
    <t>Michael Wilson</t>
  </si>
  <si>
    <t>Tahj Brooks</t>
  </si>
  <si>
    <t>Jerome Ford</t>
  </si>
  <si>
    <t>Jonathan Brooks</t>
  </si>
  <si>
    <t>Jarquez Hunter</t>
  </si>
  <si>
    <t>Jalen McMillan</t>
  </si>
  <si>
    <t>Josh Jacobs</t>
  </si>
  <si>
    <t>Alvin Kamara</t>
  </si>
  <si>
    <t>Jameis Winston</t>
  </si>
  <si>
    <t>Tank Dell</t>
  </si>
  <si>
    <t>Ryan</t>
  </si>
  <si>
    <t>via A. Zurek, Bill</t>
  </si>
  <si>
    <t>David Njoku</t>
  </si>
  <si>
    <t>Tee Higgins</t>
  </si>
  <si>
    <t>Xavier Legette</t>
  </si>
  <si>
    <t>Evan Engram</t>
  </si>
  <si>
    <t>Russell Wilson</t>
  </si>
  <si>
    <t>Roschon Johnson</t>
  </si>
  <si>
    <t>Will Shipley</t>
  </si>
  <si>
    <t>Joshua Palmer</t>
  </si>
  <si>
    <t>Najee Harris</t>
  </si>
  <si>
    <t>Darnell Mooney</t>
  </si>
  <si>
    <t>Jimmy Garoppolo</t>
  </si>
  <si>
    <t>Malik Nabers</t>
  </si>
  <si>
    <t>Bryce Young</t>
  </si>
  <si>
    <t>Drake Maye</t>
  </si>
  <si>
    <t>Tony Pollard</t>
  </si>
  <si>
    <t>Isiah Pacheco</t>
  </si>
  <si>
    <t>Isaac Guerendo</t>
  </si>
  <si>
    <t>DJ Moore</t>
  </si>
  <si>
    <t>DK Metcalf</t>
  </si>
  <si>
    <t>Ray-Ray McCloud</t>
  </si>
  <si>
    <t>Adam Thielen</t>
  </si>
  <si>
    <t>Jonnu Smith</t>
  </si>
  <si>
    <t>Nick Westbrook-Ikhine</t>
  </si>
  <si>
    <t>Rashod Bateman</t>
  </si>
  <si>
    <t>Trey Benson</t>
  </si>
  <si>
    <t>Kendre Miller</t>
  </si>
  <si>
    <t>Anthony Richardson</t>
  </si>
  <si>
    <t>Emeka Egbuka</t>
  </si>
  <si>
    <t>Tyler Warren</t>
  </si>
  <si>
    <t>TreVeyon Henderson</t>
  </si>
  <si>
    <t>Christian Kirk</t>
  </si>
  <si>
    <t>RJ Harvey</t>
  </si>
  <si>
    <t>DeMario Douglas</t>
  </si>
  <si>
    <t>Tre Harris</t>
  </si>
  <si>
    <t>Cade Otton</t>
  </si>
  <si>
    <t>MarShawn Lloyd</t>
  </si>
  <si>
    <t>Elijah Arroyo</t>
  </si>
  <si>
    <t>Tyler Allgeier</t>
  </si>
  <si>
    <t>Shedeur Sanders</t>
  </si>
  <si>
    <t>Oronde Gadsden</t>
  </si>
  <si>
    <t>Kyle Williams</t>
  </si>
  <si>
    <t>Kimani Vidal</t>
  </si>
  <si>
    <t>Wayne</t>
  </si>
  <si>
    <t>Joe Burrow</t>
  </si>
  <si>
    <t>Courtland Sutton</t>
  </si>
  <si>
    <t>Puka Nacua</t>
  </si>
  <si>
    <t>De'Von Achane</t>
  </si>
  <si>
    <t>Jonathan Taylor</t>
  </si>
  <si>
    <t>Jalen Hurts</t>
  </si>
  <si>
    <t>Kyler Murray</t>
  </si>
  <si>
    <t>David Montgomery</t>
  </si>
  <si>
    <t>Ollie Gordon</t>
  </si>
  <si>
    <t>Cooper Kupp</t>
  </si>
  <si>
    <t>Aaron Rodgers</t>
  </si>
  <si>
    <t>Mason Taylor</t>
  </si>
  <si>
    <t>Rachaad White</t>
  </si>
  <si>
    <t>Darren Waller</t>
  </si>
  <si>
    <t>Tyreek Hill</t>
  </si>
  <si>
    <t>Dalton Schultz</t>
  </si>
  <si>
    <t>Jaylin Noel</t>
  </si>
  <si>
    <t>Colby Parkinson</t>
  </si>
  <si>
    <t>Terrance Ferguson</t>
  </si>
  <si>
    <t>Adonai Mitchell</t>
  </si>
  <si>
    <t>DJ Giddens</t>
  </si>
  <si>
    <t>Aiden O'Connell</t>
  </si>
  <si>
    <t>Alexander Mattison</t>
  </si>
  <si>
    <t>Amari Cooper</t>
  </si>
  <si>
    <t>Ameer Abdullah</t>
  </si>
  <si>
    <t>Antonio Gibson</t>
  </si>
  <si>
    <t>Ben Sinnott</t>
  </si>
  <si>
    <t>Brandon Cooks</t>
  </si>
  <si>
    <t>Cam Akers</t>
  </si>
  <si>
    <t>Carson Wentz</t>
  </si>
  <si>
    <t>Cooper Rush</t>
  </si>
  <si>
    <t>Craig Reynolds</t>
  </si>
  <si>
    <t>DeAndre Hopkins</t>
  </si>
  <si>
    <t>Derek Carr</t>
  </si>
  <si>
    <t>Deshaun Watson</t>
  </si>
  <si>
    <t>Diontae Johnson</t>
  </si>
  <si>
    <t>Dontayvion Wicks</t>
  </si>
  <si>
    <t>Dorian Thompson-Robinson</t>
  </si>
  <si>
    <t>Drew Lock</t>
  </si>
  <si>
    <t>Elijah Moore</t>
  </si>
  <si>
    <t>Gabe Davis</t>
  </si>
  <si>
    <t>Gus Edwards</t>
  </si>
  <si>
    <t>Hassan Haskins</t>
  </si>
  <si>
    <t>Hendon Hooker</t>
  </si>
  <si>
    <t>Ja'Tavion Sanders</t>
  </si>
  <si>
    <t>Jake Browning</t>
  </si>
  <si>
    <t>Jaleel McLaughlin</t>
  </si>
  <si>
    <t>Jalen Tolbert</t>
  </si>
  <si>
    <t>Jermaine Burton</t>
  </si>
  <si>
    <t>Luke McCaffrey</t>
  </si>
  <si>
    <t>Marquez Valdes-Scantling</t>
  </si>
  <si>
    <t>Michael Mayer</t>
  </si>
  <si>
    <t>Pat Freiermuth</t>
  </si>
  <si>
    <t>Patrick Taylor Jr</t>
  </si>
  <si>
    <t>Raheem Mostert</t>
  </si>
  <si>
    <t>Will Levis</t>
  </si>
  <si>
    <t>Zack Moss</t>
  </si>
  <si>
    <t>2026 Round 1</t>
  </si>
  <si>
    <t>Round</t>
  </si>
  <si>
    <t>Price</t>
  </si>
  <si>
    <t>Player Name</t>
  </si>
  <si>
    <t>NFL Team</t>
  </si>
  <si>
    <t>via A. Zurek, Faybik</t>
  </si>
  <si>
    <t>via Ryan</t>
  </si>
  <si>
    <t>via M.Zurek, Abad</t>
  </si>
  <si>
    <t>via Jason, M. Zurek</t>
  </si>
  <si>
    <t>2026 Round 2</t>
  </si>
  <si>
    <t>via Cantone, Faybik</t>
  </si>
  <si>
    <t>via Ryan, A. Zurek</t>
  </si>
  <si>
    <t>via Jared</t>
  </si>
  <si>
    <t>via Faybik, Jason</t>
  </si>
  <si>
    <t>via Jason, Jared</t>
  </si>
  <si>
    <t>Via Wayne</t>
  </si>
  <si>
    <t>2027 Round 1</t>
  </si>
  <si>
    <t>1st</t>
  </si>
  <si>
    <t>2027 Round 2</t>
  </si>
  <si>
    <t>2nd</t>
  </si>
  <si>
    <t>Matt</t>
  </si>
  <si>
    <t>Andrew</t>
  </si>
  <si>
    <t>Corey</t>
  </si>
  <si>
    <t>Buy-in Paid</t>
  </si>
  <si>
    <t>Method</t>
  </si>
  <si>
    <t>Paypal</t>
  </si>
  <si>
    <t>Venmo</t>
  </si>
  <si>
    <t>Zelle</t>
  </si>
  <si>
    <t>Winnings</t>
  </si>
  <si>
    <t>Paid Out</t>
  </si>
  <si>
    <t>Still Owed</t>
  </si>
  <si>
    <t>Weekly Awards</t>
  </si>
  <si>
    <t>Reg Season</t>
  </si>
  <si>
    <t>1st ($250)</t>
  </si>
  <si>
    <t>2nd ($100)</t>
  </si>
  <si>
    <t>Post-Season</t>
  </si>
  <si>
    <t>1st ($1400)</t>
  </si>
  <si>
    <t>2nd ($450)</t>
  </si>
  <si>
    <t>3rd ($100)</t>
  </si>
  <si>
    <t>buyin</t>
  </si>
  <si>
    <t>low points</t>
  </si>
  <si>
    <t>all goes to postseason winner</t>
  </si>
  <si>
    <t>high points</t>
  </si>
  <si>
    <t>remaining</t>
  </si>
  <si>
    <t>reg 1st</t>
  </si>
  <si>
    <t>reg 2nd</t>
  </si>
  <si>
    <t>post 1st</t>
  </si>
  <si>
    <t>post 2nd</t>
  </si>
  <si>
    <t>post 3rd</t>
  </si>
  <si>
    <t>Date</t>
  </si>
  <si>
    <t>Bijan Robinson</t>
  </si>
  <si>
    <t>2026 1.02 (A. Zurek)</t>
  </si>
  <si>
    <t>2026 2.10 (Jason)</t>
  </si>
  <si>
    <t>2026 2.04 (Ryan)</t>
  </si>
  <si>
    <t>END OF 2025 SEASON</t>
  </si>
  <si>
    <t>Texans D/ST</t>
  </si>
  <si>
    <t>Bill 2026 1st</t>
  </si>
  <si>
    <t>Tetoria McMillan</t>
  </si>
  <si>
    <t>Sam LaPorta</t>
  </si>
  <si>
    <t>Wayne 2026 1st</t>
  </si>
  <si>
    <t>Luke Musgraves</t>
  </si>
  <si>
    <t>Corey 2026 2nd</t>
  </si>
  <si>
    <t>Marvin Harrison Jr.</t>
  </si>
  <si>
    <t>Corey 2026 1st</t>
  </si>
  <si>
    <t>Jared 2026 2nd</t>
  </si>
  <si>
    <t>Dallas Goedart</t>
  </si>
  <si>
    <t>Brian Robinson Jr.</t>
  </si>
  <si>
    <t>Faybik 2026 1st</t>
  </si>
  <si>
    <t>Cantone 2026 2nd</t>
  </si>
  <si>
    <t>Wayne 2026 2nd</t>
  </si>
  <si>
    <t>Brian Thomas Jr.</t>
  </si>
  <si>
    <t>JJ McCarthy</t>
  </si>
  <si>
    <t>Faybik 2026 2nd</t>
  </si>
  <si>
    <t>Ja'Marr Chase</t>
  </si>
  <si>
    <t>Zurek 2026 1st</t>
  </si>
  <si>
    <t>Zurek 2026 2nd</t>
  </si>
  <si>
    <t>Darius Slayton</t>
  </si>
  <si>
    <t>Jason 2026 1st</t>
  </si>
  <si>
    <t>Tyrone Tracy Jr.</t>
  </si>
  <si>
    <t>Ryan 2026 2nd</t>
  </si>
  <si>
    <t>Bill 2025 2.12</t>
  </si>
  <si>
    <t>Jason 2026 2nd</t>
  </si>
  <si>
    <t>Zurek</t>
  </si>
  <si>
    <t>M. Zurek 2025 1.02</t>
  </si>
  <si>
    <t>Foley 2025 1.05</t>
  </si>
  <si>
    <t>Trevor Lawerence</t>
  </si>
  <si>
    <t>Corey 2025 1.11</t>
  </si>
  <si>
    <t>Corey 2025 1.12</t>
  </si>
  <si>
    <t>M.Zurek 2026 1st</t>
  </si>
  <si>
    <t>M.Zurek 2026 2nd</t>
  </si>
  <si>
    <t>Jason 2025 1.04</t>
  </si>
  <si>
    <t>Ryan 2025 1.10</t>
  </si>
  <si>
    <t>M. Zurek 2025 2.02</t>
  </si>
  <si>
    <t>Dugan 2025 2.06</t>
  </si>
  <si>
    <t>Bill 2026 2nd</t>
  </si>
  <si>
    <t>Ryan 2026 1st</t>
  </si>
  <si>
    <t>Jason 2025 2.06</t>
  </si>
  <si>
    <t>Jason 2025 2.07</t>
  </si>
  <si>
    <t>Wayne 2025 1.08</t>
  </si>
  <si>
    <t>Rashee Rice</t>
  </si>
  <si>
    <t>Bill 2025 2.07</t>
  </si>
  <si>
    <t>Week 14</t>
  </si>
  <si>
    <t>Week 13.2</t>
  </si>
  <si>
    <t>Week 13.1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</si>
  <si>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</si>
  <si>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</si>
  <si>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</si>
  <si>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</si>
  <si>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</si>
  <si>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</si>
  <si>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</si>
  <si>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</si>
  <si>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</si>
  <si>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</si>
  <si>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</si>
  <si>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</si>
  <si>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Monangai</t>
  </si>
  <si>
    <t>Dart</t>
  </si>
  <si>
    <t>Ferguson</t>
  </si>
  <si>
    <t>Golden</t>
  </si>
  <si>
    <t>Hampton</t>
  </si>
  <si>
    <t>Barkley</t>
  </si>
  <si>
    <t>London</t>
  </si>
  <si>
    <t>Cook</t>
  </si>
  <si>
    <t>Chase</t>
  </si>
  <si>
    <t>Andrews</t>
  </si>
  <si>
    <t>Jefferson</t>
  </si>
  <si>
    <t>Deebo</t>
  </si>
  <si>
    <t>Gainwell</t>
  </si>
  <si>
    <t>Ladd</t>
  </si>
  <si>
    <t>Rice</t>
  </si>
  <si>
    <t>Breece</t>
  </si>
  <si>
    <t>Warren</t>
  </si>
  <si>
    <t>CMC</t>
  </si>
  <si>
    <t>Kraft</t>
  </si>
  <si>
    <t>Jamo Williams</t>
  </si>
  <si>
    <t>Herbert</t>
  </si>
  <si>
    <t>Evans</t>
  </si>
  <si>
    <t>Judkins</t>
  </si>
  <si>
    <t>Watson</t>
  </si>
  <si>
    <t>Houston DST</t>
  </si>
  <si>
    <t>Kelce</t>
  </si>
  <si>
    <t>Jamarr Chase</t>
  </si>
  <si>
    <t>Olave</t>
  </si>
  <si>
    <t>Rome</t>
  </si>
  <si>
    <t>Odunze</t>
  </si>
  <si>
    <t>Keenan</t>
  </si>
  <si>
    <t>Engram</t>
  </si>
  <si>
    <t>Doubs</t>
  </si>
  <si>
    <t>Bill Croskey</t>
  </si>
  <si>
    <t>G Wilson</t>
  </si>
  <si>
    <t>Jacobs</t>
  </si>
  <si>
    <t>JSN</t>
  </si>
  <si>
    <t>Pickens</t>
  </si>
  <si>
    <t>Kittle</t>
  </si>
  <si>
    <t>Javonte</t>
  </si>
  <si>
    <t>Fields</t>
  </si>
  <si>
    <t>Etienne</t>
  </si>
  <si>
    <t>Flowers</t>
  </si>
  <si>
    <t>LaPorta</t>
  </si>
  <si>
    <t>Burden</t>
  </si>
  <si>
    <t>Bijan</t>
  </si>
  <si>
    <t>Bowers</t>
  </si>
  <si>
    <t>Tet</t>
  </si>
  <si>
    <t>Skattaboo</t>
  </si>
  <si>
    <t>Jeanty</t>
  </si>
  <si>
    <t>Packers DST</t>
  </si>
  <si>
    <t>Ceedee</t>
  </si>
  <si>
    <t>Henry</t>
  </si>
  <si>
    <t>Nico</t>
  </si>
  <si>
    <t>Rico</t>
  </si>
  <si>
    <t>Amon-Ra</t>
  </si>
  <si>
    <t>Mason</t>
  </si>
  <si>
    <t>Adams</t>
  </si>
  <si>
    <t>McBride</t>
  </si>
  <si>
    <t>Gibbs</t>
  </si>
  <si>
    <t xml:space="preserve">Gibbs </t>
  </si>
  <si>
    <t>Allen</t>
  </si>
  <si>
    <t>Kyren</t>
  </si>
  <si>
    <t>Higgins</t>
  </si>
  <si>
    <t>Egbuka</t>
  </si>
  <si>
    <t>Vidal</t>
  </si>
  <si>
    <t>J Taylor</t>
  </si>
  <si>
    <t>Taylor</t>
  </si>
  <si>
    <t>Puka</t>
  </si>
  <si>
    <t>Hurts</t>
  </si>
  <si>
    <t>Achane</t>
  </si>
  <si>
    <t>Charbs</t>
  </si>
  <si>
    <t>Ertz</t>
  </si>
  <si>
    <t>SUM of 2026 Price</t>
  </si>
  <si>
    <t>Grand Total</t>
  </si>
  <si>
    <t>Points</t>
  </si>
  <si>
    <t>Wins</t>
  </si>
  <si>
    <t>Loss</t>
  </si>
  <si>
    <t>%</t>
  </si>
  <si>
    <t>Win +/- Record</t>
  </si>
  <si>
    <t xml:space="preserve"> </t>
  </si>
  <si>
    <t>Sherman</t>
  </si>
  <si>
    <t>THE GUT GUY</t>
  </si>
  <si>
    <t>BILL</t>
  </si>
  <si>
    <t>THE SHOPPER</t>
  </si>
  <si>
    <t>THE CROWD POLLER</t>
  </si>
  <si>
    <t>RYAN</t>
  </si>
  <si>
    <t>THE I NEED TO SLEEP ON IT</t>
  </si>
  <si>
    <t>THE COLD OFFER</t>
  </si>
  <si>
    <t>THE YOUVE GOT 10 MINS</t>
  </si>
  <si>
    <t>A. ZUREK</t>
  </si>
  <si>
    <t>THE THROW IN A LITTLE EXTRA</t>
  </si>
  <si>
    <t>JARED</t>
  </si>
  <si>
    <t>THE STUCK IN 2017</t>
  </si>
  <si>
    <t>THE KEEP TRADE CUT SCREENSHOT</t>
  </si>
  <si>
    <t>THE ICE CREAM TRUCK</t>
  </si>
  <si>
    <t>FAYBIK</t>
  </si>
  <si>
    <t>THE YOU DON'T UNDERSTAND VALUE</t>
  </si>
  <si>
    <t>CANTONE</t>
  </si>
  <si>
    <t>THE OFFER HAS BEEN PULLED</t>
  </si>
  <si>
    <t>THE FUCK IT - LETS DO IT</t>
  </si>
  <si>
    <t>ABAD</t>
  </si>
  <si>
    <t>THE WAIT AND SEE HOW THE WEEK GOES</t>
  </si>
  <si>
    <t>DUGAN</t>
  </si>
  <si>
    <t xml:space="preserve">THE RIP VAN WINKLE </t>
  </si>
  <si>
    <t>FOLEY</t>
  </si>
  <si>
    <t>THE GROUNDWORK / GRASSROOTS</t>
  </si>
  <si>
    <t>WAYNE</t>
  </si>
  <si>
    <t>THE ART OF THE DEAL</t>
  </si>
  <si>
    <t>M. ZUREK</t>
  </si>
  <si>
    <t>THE ACTION IS THE JUICE</t>
  </si>
  <si>
    <t>JASON</t>
  </si>
  <si>
    <t>Week 13</t>
  </si>
  <si>
    <t>2025 Round 1</t>
  </si>
  <si>
    <t>Raiders</t>
  </si>
  <si>
    <t>Chargers</t>
  </si>
  <si>
    <t>via M. Zurek, Ryan, Jared</t>
  </si>
  <si>
    <t>Jaguars</t>
  </si>
  <si>
    <t>Treveyon Henderson</t>
  </si>
  <si>
    <t>Patriots</t>
  </si>
  <si>
    <t>via Jason, Faybik, Jason, Bill</t>
  </si>
  <si>
    <t>Panthers</t>
  </si>
  <si>
    <t>via Foley, Jared</t>
  </si>
  <si>
    <t>Jail</t>
  </si>
  <si>
    <t>Cameron Ward</t>
  </si>
  <si>
    <t>Titans</t>
  </si>
  <si>
    <t>Broncos</t>
  </si>
  <si>
    <t>Bears</t>
  </si>
  <si>
    <t>Steelers</t>
  </si>
  <si>
    <t>Bucs</t>
  </si>
  <si>
    <t>via Cantone, Ryan, Corey, M. Zurek</t>
  </si>
  <si>
    <t>Colts</t>
  </si>
  <si>
    <t>via Bill, Corey, M. Zurek</t>
  </si>
  <si>
    <t>2025 Round 2</t>
  </si>
  <si>
    <t>Packers</t>
  </si>
  <si>
    <t>via M. Zurek, Jason, Bill</t>
  </si>
  <si>
    <t>Giants</t>
  </si>
  <si>
    <t>Texans</t>
  </si>
  <si>
    <t>Jaxon Dart</t>
  </si>
  <si>
    <t>via Dugan, Jason, Ryan</t>
  </si>
  <si>
    <t>via A. Zurek, Bill, Jason</t>
  </si>
  <si>
    <t>Jets</t>
  </si>
  <si>
    <t>Seabirds</t>
  </si>
  <si>
    <t>via Ryan, M. Zurek</t>
  </si>
  <si>
    <t>Jaydon Blue</t>
  </si>
  <si>
    <t>Cowboys</t>
  </si>
  <si>
    <t>via Bill, Ryan, Jared</t>
  </si>
  <si>
    <t>2024 Round 1</t>
  </si>
  <si>
    <t>Cardinals</t>
  </si>
  <si>
    <t>via Bill, Jared</t>
  </si>
  <si>
    <t>Bears (Rawr)</t>
  </si>
  <si>
    <t>WFT</t>
  </si>
  <si>
    <t>via Jared, Bill, Jared</t>
  </si>
  <si>
    <t>via Cantone, Foley</t>
  </si>
  <si>
    <t>via Wayne, Jared</t>
  </si>
  <si>
    <t>via A. Zurek</t>
  </si>
  <si>
    <t xml:space="preserve">Xavier worthy </t>
  </si>
  <si>
    <t>Chiefs</t>
  </si>
  <si>
    <t>Brian Thomas</t>
  </si>
  <si>
    <t>via Jason, Bill</t>
  </si>
  <si>
    <t xml:space="preserve">Keon Coleman </t>
  </si>
  <si>
    <t>Bills</t>
  </si>
  <si>
    <t>via M. Zurek</t>
  </si>
  <si>
    <t>2024 Round 2</t>
  </si>
  <si>
    <t>Rams</t>
  </si>
  <si>
    <t>via Bill, Jason, Jared</t>
  </si>
  <si>
    <t>Pats</t>
  </si>
  <si>
    <t>via Faybik, Foley</t>
  </si>
  <si>
    <t xml:space="preserve">J.J. McCarthy </t>
  </si>
  <si>
    <t>Vikings</t>
  </si>
  <si>
    <t>Dolphins</t>
  </si>
  <si>
    <t>via Cantone, Dugan</t>
  </si>
  <si>
    <t>via Wayne, Jason</t>
  </si>
  <si>
    <t>San Francisco</t>
  </si>
  <si>
    <t>Falcons</t>
  </si>
  <si>
    <t>via Abad, Wayne</t>
  </si>
  <si>
    <t xml:space="preserve">Adonai Mitchell </t>
  </si>
  <si>
    <t>via Jason, Ryan, Jared</t>
  </si>
  <si>
    <t>Ja'Lynn Polk</t>
  </si>
  <si>
    <t>via Ryan, Jason, Bill</t>
  </si>
  <si>
    <t>Proposal Title</t>
  </si>
  <si>
    <t>Year(s) Proposed</t>
  </si>
  <si>
    <t>Proposed By</t>
  </si>
  <si>
    <t>Rule Description</t>
  </si>
  <si>
    <t>Reason for Change</t>
  </si>
  <si>
    <t>Additional Details</t>
  </si>
  <si>
    <t>Low Points Parlay Pot</t>
  </si>
  <si>
    <t>Bill/Zurek</t>
  </si>
  <si>
    <t>Lowest weekly score pays $10 to a pot, awarded to the playoff team with lowest regular season points among final four.</t>
  </si>
  <si>
    <t>Trade Auction Dollars during Off-season</t>
  </si>
  <si>
    <t>Allow trading future auction dollars in offseason before draft.</t>
  </si>
  <si>
    <t>Remove DST</t>
  </si>
  <si>
    <t>Eliminate Team Defense/Special Teams from lineups and player pool.</t>
  </si>
  <si>
    <t>Remove K</t>
  </si>
  <si>
    <t>Rule expiration limit hit - 2 year ban (2027 first year eligible)</t>
  </si>
  <si>
    <t>FAAB Trading</t>
  </si>
  <si>
    <t>Permit trading of Free Agent Acquisition Budget during season.</t>
  </si>
  <si>
    <t>Add/Drops Week 18</t>
  </si>
  <si>
    <t>Extend player pickups/drops through Week 18 (currently ends Week 17).</t>
  </si>
  <si>
    <t>Draft Unsigned/College Players</t>
  </si>
  <si>
    <t>Allow drafting unsigned NFL/college players, not counting toward roster limits until signed, with standard price increases.</t>
  </si>
  <si>
    <t>Draft Lottery Expansion</t>
  </si>
  <si>
    <t>Draft Lottery Expansion: Expand lottery to bottom 5 teams (20% chance at #1 pick) instead of bottom 4 (25% each).</t>
  </si>
  <si>
    <t>Require that teams set a complete, legal lineup each week</t>
  </si>
  <si>
    <t>Change DST scoring so it can't be negative</t>
  </si>
  <si>
    <t>if we dont remove DST or change lineup requirement via proposals above, this would at least make it so nobody ever punts DST</t>
  </si>
  <si>
    <t>RULEBOOK LINK</t>
  </si>
  <si>
    <t>Player(s) Received</t>
  </si>
  <si>
    <t>Foley 2024 1.02</t>
  </si>
  <si>
    <t>Jared 2024 1.04</t>
  </si>
  <si>
    <t>Foley 2024 1.05</t>
  </si>
  <si>
    <t>Jared 2024 1.06</t>
  </si>
  <si>
    <t>Draft PIck</t>
  </si>
  <si>
    <t>Jared 2024 2.10</t>
  </si>
  <si>
    <t>Faybik 2024 2.02</t>
  </si>
  <si>
    <t>Mason Rudolph</t>
  </si>
  <si>
    <t>Faybik 2024 1.03</t>
  </si>
  <si>
    <t>Jason 2025 1st Round</t>
  </si>
  <si>
    <t>Jason 2025 2nd Round</t>
  </si>
  <si>
    <t>Demario Douglass</t>
  </si>
  <si>
    <t>Bill 2024 2.11</t>
  </si>
  <si>
    <t>Zamir White</t>
  </si>
  <si>
    <t>Team 1</t>
  </si>
  <si>
    <t>Team 1 Players</t>
  </si>
  <si>
    <t>Team 1 Positions</t>
  </si>
  <si>
    <t>Team 2</t>
  </si>
  <si>
    <t>Team 2 Players</t>
  </si>
  <si>
    <t>Team 2 Positions</t>
  </si>
  <si>
    <t>Notes</t>
  </si>
  <si>
    <t>M. Zurek 2025 1st</t>
  </si>
  <si>
    <t>MM/DD/YYYY</t>
  </si>
  <si>
    <t>Team Name</t>
  </si>
  <si>
    <t>Player 1, Player 2</t>
  </si>
  <si>
    <t>Position 1, Position 2</t>
  </si>
  <si>
    <t>Any additional information</t>
  </si>
  <si>
    <t>Ryan 2025 2nd</t>
  </si>
  <si>
    <t>D</t>
  </si>
  <si>
    <t>Corey 2025 2nd</t>
  </si>
  <si>
    <t>D.J. Moore</t>
  </si>
  <si>
    <t>Foley 2025 2nd</t>
  </si>
  <si>
    <t>Bill 2025 2nd</t>
  </si>
  <si>
    <t>Dawson Knox</t>
  </si>
  <si>
    <t>Ezekiel Elliott</t>
  </si>
  <si>
    <t>Current Year</t>
  </si>
  <si>
    <t>Tax Dat Ass</t>
  </si>
  <si>
    <t>DST</t>
  </si>
  <si>
    <t xml:space="preserve">  </t>
  </si>
  <si>
    <t>2024
Price</t>
  </si>
  <si>
    <t>Auction Price</t>
  </si>
  <si>
    <t>Tyson Bagent</t>
  </si>
  <si>
    <t>WW</t>
  </si>
  <si>
    <t>Treylon Burks</t>
  </si>
  <si>
    <t>Johan Dotson</t>
  </si>
  <si>
    <t>Marvin Mims Jr.</t>
  </si>
  <si>
    <t>C.J. Beathard</t>
  </si>
  <si>
    <t>Tyrod Taylor</t>
  </si>
  <si>
    <t>Easton Stick</t>
  </si>
  <si>
    <t>D'Onta Foreman</t>
  </si>
  <si>
    <t>Cole Kmet</t>
  </si>
  <si>
    <t>Johnny Mundt</t>
  </si>
  <si>
    <t>T.J. Hockenson</t>
  </si>
  <si>
    <t>Chigoziem Okonkwo</t>
  </si>
  <si>
    <t>Desmond Ridder</t>
  </si>
  <si>
    <t>Ryan Tannehill</t>
  </si>
  <si>
    <t>AJ Dillon</t>
  </si>
  <si>
    <t>Allen Lazard</t>
  </si>
  <si>
    <t>Kyle Philips</t>
  </si>
  <si>
    <t xml:space="preserve">Roschon Johnson </t>
  </si>
  <si>
    <t>Chase Edmonds</t>
  </si>
  <si>
    <t>Latavius Murray</t>
  </si>
  <si>
    <t>Khalil Herbert</t>
  </si>
  <si>
    <t>Gerald Everett</t>
  </si>
  <si>
    <t>Odell Beckham Jr.</t>
  </si>
  <si>
    <t>KJ Osborn</t>
  </si>
  <si>
    <t>Xavier worthy</t>
  </si>
  <si>
    <t>Gardner Minshew</t>
  </si>
  <si>
    <t>Jarrett Stidham</t>
  </si>
  <si>
    <t>Dalvin Cook</t>
  </si>
  <si>
    <t>Wan'dale Robinson</t>
  </si>
  <si>
    <t>Joshua Dobbs</t>
  </si>
  <si>
    <t>Trey Palmer</t>
  </si>
  <si>
    <t>Patrick Taylor</t>
  </si>
  <si>
    <t>Dameon Pierce</t>
  </si>
  <si>
    <t>Trey Sermon</t>
  </si>
  <si>
    <t>Marquise Brown</t>
  </si>
  <si>
    <t>Tyler Lockett</t>
  </si>
  <si>
    <t>Quentin Johnson</t>
  </si>
  <si>
    <t>Jonathan Mingo</t>
  </si>
  <si>
    <t>Jallel McLaughlin</t>
  </si>
  <si>
    <t>Ty Chandler</t>
  </si>
  <si>
    <t>Isaiah Spiller</t>
  </si>
  <si>
    <t>Jalin Hyatt</t>
  </si>
  <si>
    <t>John Metchie III</t>
  </si>
  <si>
    <t>Xavier Hutchinson</t>
  </si>
  <si>
    <t>Tyler Goodson</t>
  </si>
  <si>
    <t>Curtis Samuel</t>
  </si>
  <si>
    <t>Jaren Hall</t>
  </si>
  <si>
    <t>Bailey Zappe</t>
  </si>
  <si>
    <t>J.K. Dobbins</t>
  </si>
  <si>
    <t>Noah Brown</t>
  </si>
  <si>
    <t>Devonta Smith</t>
  </si>
  <si>
    <t>Keontay Ingram</t>
  </si>
  <si>
    <t>Elijah Mitchell</t>
  </si>
  <si>
    <t>Israel Abanikanda</t>
  </si>
  <si>
    <t>Luke Musgrave</t>
  </si>
  <si>
    <t>Demarcus Rbobinson</t>
  </si>
  <si>
    <t>Mike Williams</t>
  </si>
  <si>
    <t>Sam Howell</t>
  </si>
  <si>
    <t>Zach Wilson</t>
  </si>
  <si>
    <t>Jamaal Williams</t>
  </si>
  <si>
    <t>Brandin Cooks</t>
  </si>
  <si>
    <t>Jerick McKinnon</t>
  </si>
  <si>
    <t>Ronnie Rivers</t>
  </si>
  <si>
    <t>Jeff Wilson Jr.</t>
  </si>
  <si>
    <t>Gabriel Davis</t>
  </si>
  <si>
    <t>Zay Jones</t>
  </si>
  <si>
    <t>Greg Dortch</t>
  </si>
  <si>
    <t>Mecole Hardman</t>
  </si>
  <si>
    <t>zzFA</t>
  </si>
  <si>
    <t>Tom Brady</t>
  </si>
  <si>
    <t>Kyle Trask</t>
  </si>
  <si>
    <t>Clayton Tune</t>
  </si>
  <si>
    <t>Alex Smith</t>
  </si>
  <si>
    <t>Andy Dalton</t>
  </si>
  <si>
    <t>Ben Roethlisberger</t>
  </si>
  <si>
    <t>Cam Newton</t>
  </si>
  <si>
    <t>Drew Brees</t>
  </si>
  <si>
    <t>Dwayne Haskins</t>
  </si>
  <si>
    <t>Marcus Mariota</t>
  </si>
  <si>
    <t>Matt Corral</t>
  </si>
  <si>
    <t>Matt Ryan</t>
  </si>
  <si>
    <t>Mike White</t>
  </si>
  <si>
    <t>Mitchell Trubisky</t>
  </si>
  <si>
    <t>Ryan Fitzpatrick</t>
  </si>
  <si>
    <t>Taylor Heinicke</t>
  </si>
  <si>
    <t>Teddy Bridgewater</t>
  </si>
  <si>
    <t>Tyler Huntley</t>
  </si>
  <si>
    <t>Damien Harris</t>
  </si>
  <si>
    <t>Cordarrelle Patterson</t>
  </si>
  <si>
    <t>Deon Jackson</t>
  </si>
  <si>
    <t>Joshua Kelley</t>
  </si>
  <si>
    <t>Travyeon Williams</t>
  </si>
  <si>
    <t>Miles Sanders</t>
  </si>
  <si>
    <t>Rashaad Penny</t>
  </si>
  <si>
    <t>Deuce Vaughn</t>
  </si>
  <si>
    <t>Clyde Edwards-Helaire</t>
  </si>
  <si>
    <t>Matt Breida</t>
  </si>
  <si>
    <t>DJ Chark Jr.</t>
  </si>
  <si>
    <t>Benny Snell</t>
  </si>
  <si>
    <t>Boston Scott</t>
  </si>
  <si>
    <t>Bryce Perkins</t>
  </si>
  <si>
    <t>Carlos Hyde</t>
  </si>
  <si>
    <t>Chris Carson</t>
  </si>
  <si>
    <t>Damien Williams</t>
  </si>
  <si>
    <t>Dare Ogunbowale</t>
  </si>
  <si>
    <t>Darrel Williams</t>
  </si>
  <si>
    <t>Darrell Henderson</t>
  </si>
  <si>
    <t>David Johnson</t>
  </si>
  <si>
    <t>DeAndre Carter</t>
  </si>
  <si>
    <t>Deandre Washington</t>
  </si>
  <si>
    <t>Deejay Dallas</t>
  </si>
  <si>
    <t>D'Ernest Johnson</t>
  </si>
  <si>
    <t>Derrick Gore</t>
  </si>
  <si>
    <t>Devonta Freeman</t>
  </si>
  <si>
    <t>Dontrell Hilliard</t>
  </si>
  <si>
    <t>Duke Johnson</t>
  </si>
  <si>
    <t>Giovani Bernard</t>
  </si>
  <si>
    <t>James Robinson</t>
  </si>
  <si>
    <t>Jaret Patterson</t>
  </si>
  <si>
    <t>JD McKissic</t>
  </si>
  <si>
    <t>JJ Taylor</t>
  </si>
  <si>
    <t>Julius Chestnut</t>
  </si>
  <si>
    <t>Kenyon Drake</t>
  </si>
  <si>
    <t>Ke'Shawn Vaughn</t>
  </si>
  <si>
    <t>Leonard Fournette</t>
  </si>
  <si>
    <t>Lynn Bowden Jr</t>
  </si>
  <si>
    <t>Malcom Brown</t>
  </si>
  <si>
    <t>Mark Ingram</t>
  </si>
  <si>
    <t>Marlon Mack</t>
  </si>
  <si>
    <t>Melvin Gordon</t>
  </si>
  <si>
    <t>Mike Davis</t>
  </si>
  <si>
    <t>Myles Gaskin</t>
  </si>
  <si>
    <t>Nyheim Hines</t>
  </si>
  <si>
    <t>Pierre Strong</t>
  </si>
  <si>
    <t>Rex Burkhead</t>
  </si>
  <si>
    <t>Ronald Jones</t>
  </si>
  <si>
    <t>Royce Freeman</t>
  </si>
  <si>
    <t>Salvon Ahmed</t>
  </si>
  <si>
    <t>Sony Michel</t>
  </si>
  <si>
    <t>Tarik Cohen</t>
  </si>
  <si>
    <t>Tevin Coleman</t>
  </si>
  <si>
    <t>Todd Gurley</t>
  </si>
  <si>
    <t>Ty Davis-Price</t>
  </si>
  <si>
    <t>Wayne Gallman</t>
  </si>
  <si>
    <t>Evan Hull</t>
  </si>
  <si>
    <t>Zach Evans</t>
  </si>
  <si>
    <t>Zonovan Knight</t>
  </si>
  <si>
    <t>Tyler Boyd</t>
  </si>
  <si>
    <t>Donovan Peoples-Jones</t>
  </si>
  <si>
    <t>Juju Smith-Schuster</t>
  </si>
  <si>
    <t>Van Jefferson</t>
  </si>
  <si>
    <t>Richie James</t>
  </si>
  <si>
    <t>Kadarius Toney</t>
  </si>
  <si>
    <t>Rondale Moore</t>
  </si>
  <si>
    <t>Justyn Ross</t>
  </si>
  <si>
    <t>Michael Gallup</t>
  </si>
  <si>
    <t>Michael Thomas</t>
  </si>
  <si>
    <t>Skyy Moore</t>
  </si>
  <si>
    <t>AJ Green</t>
  </si>
  <si>
    <t>Allen Robinson</t>
  </si>
  <si>
    <t>Antonio Brown</t>
  </si>
  <si>
    <t>Chase Claypool</t>
  </si>
  <si>
    <t>Cole Beasley</t>
  </si>
  <si>
    <t>Damiere Byrd</t>
  </si>
  <si>
    <t>Danny Amendola</t>
  </si>
  <si>
    <t>David Bell</t>
  </si>
  <si>
    <t>Denzel Mims</t>
  </si>
  <si>
    <t>DeVante Parker</t>
  </si>
  <si>
    <t>D'Wayne Eskridge</t>
  </si>
  <si>
    <t>Emmanuel Sanders</t>
  </si>
  <si>
    <t>Henry Ruggs</t>
  </si>
  <si>
    <t>Hunter Renfrow</t>
  </si>
  <si>
    <t>Isaiah McKenzie</t>
  </si>
  <si>
    <t>Jakeem Grant Sr.</t>
  </si>
  <si>
    <t>Jalen Guyton</t>
  </si>
  <si>
    <t>Jalen Reagor</t>
  </si>
  <si>
    <t>Jamison Crowder</t>
  </si>
  <si>
    <t>Jarvis Landry</t>
  </si>
  <si>
    <t>John Brown</t>
  </si>
  <si>
    <t>Josh Reynolds</t>
  </si>
  <si>
    <t>Julian Edelman</t>
  </si>
  <si>
    <t>Julio Jones</t>
  </si>
  <si>
    <t>Justin Jackson</t>
  </si>
  <si>
    <t>Keke Coutee</t>
  </si>
  <si>
    <t>Kenny Golladay</t>
  </si>
  <si>
    <t>KJ Hamler</t>
  </si>
  <si>
    <t>Laviska Shenault</t>
  </si>
  <si>
    <t>Mack Hollins</t>
  </si>
  <si>
    <t>Marquez Callaway</t>
  </si>
  <si>
    <t>Marvin Jones</t>
  </si>
  <si>
    <t>Parris Campbell</t>
  </si>
  <si>
    <t>Preston Williams</t>
  </si>
  <si>
    <t>Robbie Anderson</t>
  </si>
  <si>
    <t>Robert Woods</t>
  </si>
  <si>
    <t>Russell Gage</t>
  </si>
  <si>
    <t>Sammy Watkins</t>
  </si>
  <si>
    <t>Sterling Shepard</t>
  </si>
  <si>
    <t>Terrace Marshall Jr.</t>
  </si>
  <si>
    <t>Tim Patrick</t>
  </si>
  <si>
    <t>Tutu Atwell</t>
  </si>
  <si>
    <t>TY Hilton</t>
  </si>
  <si>
    <t>Tyler Johnson</t>
  </si>
  <si>
    <t>Velus Jones</t>
  </si>
  <si>
    <t>Will Fuller V</t>
  </si>
  <si>
    <t>Isaiah Hodgins</t>
  </si>
  <si>
    <t>Greg Dulcich</t>
  </si>
  <si>
    <t>Adam Trautman</t>
  </si>
  <si>
    <t>Albert Okwuegbunam</t>
  </si>
  <si>
    <t>Austin Hooper</t>
  </si>
  <si>
    <t>CJ Uzomah</t>
  </si>
  <si>
    <t>Dan Arnold</t>
  </si>
  <si>
    <t>Eric Ebron</t>
  </si>
  <si>
    <t>Foster Moreau</t>
  </si>
  <si>
    <t>Hayden Hurst</t>
  </si>
  <si>
    <t>Irv Smith Jr.</t>
  </si>
  <si>
    <t>Jared Cook</t>
  </si>
  <si>
    <t>Logan Thomas</t>
  </si>
  <si>
    <t>Noah Fant</t>
  </si>
  <si>
    <t>Noah Gray</t>
  </si>
  <si>
    <t>Ricky Seals-Jones</t>
  </si>
  <si>
    <t>Rob Gronkowski</t>
  </si>
  <si>
    <t>Robert Tonyan</t>
  </si>
  <si>
    <t>Trey Burton</t>
  </si>
  <si>
    <t>Tyler Conklin</t>
  </si>
  <si>
    <t>Tyler Eifert</t>
  </si>
  <si>
    <t>Tyler Higbee</t>
  </si>
  <si>
    <t>Master Team Name</t>
  </si>
  <si>
    <t>ESPN Team Name</t>
  </si>
  <si>
    <t>Groupme Name</t>
  </si>
  <si>
    <t>Full Name</t>
  </si>
  <si>
    <t>Horner Park Johnson-Rods</t>
  </si>
  <si>
    <t>Matt Zurek</t>
  </si>
  <si>
    <t>Corey Abad</t>
  </si>
  <si>
    <t>Cinderella Story</t>
  </si>
  <si>
    <t>B2B Champ</t>
  </si>
  <si>
    <t>Andrew Zurek</t>
  </si>
  <si>
    <t>bill pony club</t>
  </si>
  <si>
    <t>Brett Foley</t>
  </si>
  <si>
    <t>Bill Hogan</t>
  </si>
  <si>
    <t>Aussie Rookie Ramblers</t>
  </si>
  <si>
    <t>CEO OF WATER</t>
  </si>
  <si>
    <t>Josh Cantone</t>
  </si>
  <si>
    <t>Cream Of Wheaton</t>
  </si>
  <si>
    <t>Mike Dugan</t>
  </si>
  <si>
    <t>Allegiant Pots N Pans</t>
  </si>
  <si>
    <t>Mike Faybik</t>
  </si>
  <si>
    <t>Wheaton Creampeyes</t>
  </si>
  <si>
    <t>Johnson-Rods 3.0</t>
  </si>
  <si>
    <t>Shoot the Moon: IV</t>
  </si>
  <si>
    <t>Michael Faybik</t>
  </si>
  <si>
    <t>Jared Taylor</t>
  </si>
  <si>
    <t>The Mojave Miracles</t>
  </si>
  <si>
    <t>Jason Alt</t>
  </si>
  <si>
    <t>Meta Knights</t>
  </si>
  <si>
    <t>Ryan Schwerman</t>
  </si>
  <si>
    <t>The Replacements</t>
  </si>
  <si>
    <t>Shadeson</t>
  </si>
  <si>
    <t>River Forest Republicans</t>
  </si>
  <si>
    <t>Wayne VH​​​​​​​​​​​​​​​​</t>
  </si>
  <si>
    <t>Wayne Vonder Heide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</si>
</sst>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&quot; &quot;d"/>
    <numFmt numFmtId="165" formatCode="mmmm&quot; &quot;d&quot;, &quot;yyyy"/>
    <numFmt numFmtId="166" formatCode="[$$-409]#,##0_);\([$$-409]#,##0\)"/>
    <numFmt numFmtId="167" formatCode="&quot;$&quot;#,##0"/>
    <numFmt numFmtId="168" formatCode="[$$]#,##0"/>
    <numFmt numFmtId="169" formatCode="m/d/yy"/>
    <numFmt numFmtId="170" formatCode="m/d/yyyy"/>
  </numFmts>
  <fonts count="35">
    <font>
      <sz val="11.0"/>
      <color theme="1"/>
      <name val="Arial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FFFFFF"/>
      <name val="Calibri"/>
    </font>
    <font>
      <color theme="1"/>
      <name val="Calibri"/>
    </font>
    <font>
      <b/>
      <sz val="11.0"/>
      <color rgb="FFE69138"/>
      <name val="Calibri"/>
    </font>
    <font/>
    <font>
      <color theme="1"/>
      <name val="Arial"/>
    </font>
    <font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i/>
      <sz val="11.0"/>
      <color rgb="FF38761D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333333"/>
      <name val="Arial"/>
    </font>
    <font>
      <sz val="11.0"/>
      <color rgb="FF38761D"/>
      <name val="Arial"/>
    </font>
    <font>
      <color rgb="FF38761D"/>
      <name val="Arial"/>
      <scheme val="minor"/>
    </font>
    <font>
      <sz val="11.0"/>
      <color theme="0"/>
      <name val="Arial"/>
    </font>
    <font>
      <color rgb="FFFFFFFF"/>
      <name val="Arial"/>
      <scheme val="minor"/>
    </font>
    <font>
      <color theme="0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b/>
      <color theme="1"/>
      <name val="Arial"/>
      <scheme val="minor"/>
    </font>
    <font>
      <b/>
      <strike/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b/>
      <sz val="21.0"/>
      <color rgb="FF38761D"/>
      <name val="Arial"/>
    </font>
    <font>
      <b/>
      <sz val="11.0"/>
      <color rgb="FFFF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2F5496"/>
        <bgColor rgb="FF2F5496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4A86E8"/>
        <bgColor rgb="FF4A86E8"/>
      </patternFill>
    </fill>
    <fill>
      <patternFill patternType="solid">
        <fgColor rgb="FF4285F4"/>
        <bgColor rgb="FF4285F4"/>
      </patternFill>
    </fill>
    <fill>
      <patternFill patternType="solid">
        <fgColor rgb="FF073763"/>
        <bgColor rgb="FF073763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FFFFFF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4" fontId="4" numFmtId="0" xfId="0" applyBorder="1" applyFill="1" applyFont="1"/>
    <xf borderId="1" fillId="4" fontId="4" numFmtId="164" xfId="0" applyAlignment="1" applyBorder="1" applyFont="1" applyNumberFormat="1">
      <alignment horizontal="left" readingOrder="0"/>
    </xf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left" readingOrder="0"/>
    </xf>
    <xf borderId="1" fillId="5" fontId="4" numFmtId="0" xfId="0" applyBorder="1" applyFill="1" applyFont="1"/>
    <xf borderId="1" fillId="5" fontId="4" numFmtId="0" xfId="0" applyAlignment="1" applyBorder="1" applyFont="1">
      <alignment horizontal="left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Border="1" applyFont="1"/>
    <xf borderId="1" fillId="4" fontId="5" numFmtId="164" xfId="0" applyAlignment="1" applyBorder="1" applyFont="1" applyNumberFormat="1">
      <alignment horizontal="left" readingOrder="0"/>
    </xf>
    <xf borderId="1" fillId="4" fontId="5" numFmtId="0" xfId="0" applyBorder="1" applyFont="1"/>
    <xf borderId="1" fillId="4" fontId="4" numFmtId="165" xfId="0" applyAlignment="1" applyBorder="1" applyFont="1" applyNumberFormat="1">
      <alignment horizontal="left" readingOrder="0"/>
    </xf>
    <xf borderId="0" fillId="0" fontId="6" numFmtId="164" xfId="0" applyFont="1" applyNumberFormat="1"/>
    <xf borderId="0" fillId="6" fontId="2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left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2" fillId="8" fontId="1" numFmtId="0" xfId="0" applyAlignment="1" applyBorder="1" applyFont="1">
      <alignment horizontal="center" shrinkToFit="0" vertical="center" wrapText="1"/>
    </xf>
    <xf borderId="2" fillId="8" fontId="1" numFmtId="0" xfId="0" applyAlignment="1" applyBorder="1" applyFont="1">
      <alignment horizontal="left" shrinkToFit="0" vertical="center" wrapText="1"/>
    </xf>
    <xf borderId="2" fillId="8" fontId="7" numFmtId="0" xfId="0" applyAlignment="1" applyBorder="1" applyFont="1">
      <alignment horizontal="center"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8" numFmtId="0" xfId="0" applyAlignment="1" applyBorder="1" applyFont="1">
      <alignment horizontal="left" readingOrder="0"/>
    </xf>
    <xf borderId="1" fillId="9" fontId="6" numFmtId="166" xfId="0" applyAlignment="1" applyBorder="1" applyFill="1" applyFont="1" applyNumberFormat="1">
      <alignment horizontal="center" vertical="bottom"/>
    </xf>
    <xf borderId="1" fillId="3" fontId="6" numFmtId="166" xfId="0" applyAlignment="1" applyBorder="1" applyFont="1" applyNumberFormat="1">
      <alignment horizontal="center" vertical="bottom"/>
    </xf>
    <xf borderId="1" fillId="10" fontId="6" numFmtId="166" xfId="0" applyAlignment="1" applyBorder="1" applyFill="1" applyFont="1" applyNumberFormat="1">
      <alignment horizontal="center" vertical="bottom"/>
    </xf>
    <xf borderId="1" fillId="0" fontId="6" numFmtId="167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6" numFmtId="166" xfId="0" applyAlignment="1" applyBorder="1" applyFont="1" applyNumberFormat="1">
      <alignment horizontal="center"/>
    </xf>
    <xf borderId="1" fillId="0" fontId="6" numFmtId="1" xfId="0" applyAlignment="1" applyBorder="1" applyFont="1" applyNumberFormat="1">
      <alignment horizontal="center"/>
    </xf>
    <xf borderId="1" fillId="0" fontId="6" numFmtId="166" xfId="0" applyAlignment="1" applyBorder="1" applyFont="1" applyNumberFormat="1">
      <alignment horizontal="left"/>
    </xf>
    <xf borderId="1" fillId="0" fontId="6" numFmtId="166" xfId="0" applyAlignment="1" applyBorder="1" applyFont="1" applyNumberFormat="1">
      <alignment horizontal="center" readingOrder="0"/>
    </xf>
    <xf borderId="1" fillId="0" fontId="6" numFmtId="1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center" readingOrder="0" vertical="bottom"/>
    </xf>
    <xf borderId="1" fillId="0" fontId="6" numFmtId="167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6" numFmtId="166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4" fontId="6" numFmtId="1" xfId="0" applyAlignment="1" applyBorder="1" applyFont="1" applyNumberFormat="1">
      <alignment horizontal="center" readingOrder="0"/>
    </xf>
    <xf borderId="1" fillId="4" fontId="6" numFmtId="166" xfId="0" applyAlignment="1" applyBorder="1" applyFont="1" applyNumberFormat="1">
      <alignment horizontal="left" readingOrder="0"/>
    </xf>
    <xf borderId="1" fillId="0" fontId="6" numFmtId="2" xfId="0" applyAlignment="1" applyBorder="1" applyFont="1" applyNumberFormat="1">
      <alignment horizontal="center"/>
    </xf>
    <xf borderId="1" fillId="0" fontId="6" numFmtId="166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horizontal="center"/>
    </xf>
    <xf borderId="1" fillId="0" fontId="6" numFmtId="1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horizontal="left" vertical="bottom"/>
    </xf>
    <xf borderId="1" fillId="0" fontId="4" numFmtId="0" xfId="0" applyAlignment="1" applyBorder="1" applyFont="1">
      <alignment horizontal="center" readingOrder="0"/>
    </xf>
    <xf borderId="1" fillId="0" fontId="4" numFmtId="168" xfId="0" applyAlignment="1" applyBorder="1" applyFont="1" applyNumberFormat="1">
      <alignment horizontal="center" readingOrder="0"/>
    </xf>
    <xf borderId="1" fillId="0" fontId="8" numFmtId="167" xfId="0" applyAlignment="1" applyBorder="1" applyFont="1" applyNumberFormat="1">
      <alignment horizontal="center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/>
    </xf>
    <xf borderId="1" fillId="0" fontId="6" numFmtId="167" xfId="0" applyAlignment="1" applyBorder="1" applyFont="1" applyNumberFormat="1">
      <alignment horizontal="center"/>
    </xf>
    <xf borderId="1" fillId="5" fontId="6" numFmtId="1" xfId="0" applyAlignment="1" applyBorder="1" applyFont="1" applyNumberFormat="1">
      <alignment horizontal="center" readingOrder="0"/>
    </xf>
    <xf borderId="1" fillId="5" fontId="6" numFmtId="166" xfId="0" applyAlignment="1" applyBorder="1" applyFont="1" applyNumberFormat="1">
      <alignment horizontal="left" readingOrder="0"/>
    </xf>
    <xf borderId="1" fillId="11" fontId="6" numFmtId="1" xfId="0" applyAlignment="1" applyBorder="1" applyFill="1" applyFont="1" applyNumberFormat="1">
      <alignment horizontal="center" readingOrder="0"/>
    </xf>
    <xf borderId="1" fillId="11" fontId="6" numFmtId="166" xfId="0" applyAlignment="1" applyBorder="1" applyFont="1" applyNumberFormat="1">
      <alignment horizontal="left" readingOrder="0"/>
    </xf>
    <xf borderId="1" fillId="0" fontId="6" numFmtId="167" xfId="0" applyAlignment="1" applyBorder="1" applyFont="1" applyNumberFormat="1">
      <alignment horizontal="center" vertical="bottom"/>
    </xf>
    <xf borderId="1" fillId="0" fontId="6" numFmtId="2" xfId="0" applyAlignment="1" applyBorder="1" applyFont="1" applyNumberFormat="1">
      <alignment horizontal="center" readingOrder="0" vertical="bottom"/>
    </xf>
    <xf borderId="1" fillId="5" fontId="6" numFmtId="1" xfId="0" applyAlignment="1" applyBorder="1" applyFont="1" applyNumberFormat="1">
      <alignment horizontal="center"/>
    </xf>
    <xf borderId="1" fillId="5" fontId="6" numFmtId="166" xfId="0" applyAlignment="1" applyBorder="1" applyFont="1" applyNumberFormat="1">
      <alignment horizontal="left"/>
    </xf>
    <xf borderId="1" fillId="11" fontId="6" numFmtId="1" xfId="0" applyAlignment="1" applyBorder="1" applyFont="1" applyNumberFormat="1">
      <alignment horizontal="center" vertical="bottom"/>
    </xf>
    <xf borderId="1" fillId="11" fontId="6" numFmtId="166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vertical="center"/>
    </xf>
    <xf borderId="1" fillId="0" fontId="6" numFmtId="2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center"/>
    </xf>
    <xf borderId="1" fillId="12" fontId="6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2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left" readingOrder="0" vertical="bottom"/>
    </xf>
    <xf borderId="1" fillId="0" fontId="6" numFmtId="0" xfId="0" applyAlignment="1" applyBorder="1" applyFont="1">
      <alignment horizontal="left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3" fillId="2" fontId="9" numFmtId="0" xfId="0" applyAlignment="1" applyBorder="1" applyFont="1">
      <alignment horizontal="center"/>
    </xf>
    <xf borderId="4" fillId="0" fontId="10" numFmtId="0" xfId="0" applyBorder="1" applyFont="1"/>
    <xf borderId="5" fillId="0" fontId="10" numFmtId="0" xfId="0" applyBorder="1" applyFont="1"/>
    <xf borderId="6" fillId="2" fontId="2" numFmtId="0" xfId="0" applyAlignment="1" applyBorder="1" applyFont="1">
      <alignment horizontal="center" readingOrder="0"/>
    </xf>
    <xf borderId="7" fillId="0" fontId="10" numFmtId="0" xfId="0" applyBorder="1" applyFont="1"/>
    <xf borderId="8" fillId="0" fontId="10" numFmtId="0" xfId="0" applyBorder="1" applyFont="1"/>
    <xf borderId="1" fillId="3" fontId="5" numFmtId="0" xfId="0" applyAlignment="1" applyBorder="1" applyFont="1">
      <alignment horizontal="center"/>
    </xf>
    <xf borderId="1" fillId="0" fontId="4" numFmtId="2" xfId="0" applyAlignment="1" applyBorder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/>
    </xf>
    <xf borderId="9" fillId="0" fontId="4" numFmtId="2" xfId="0" applyAlignment="1" applyBorder="1" applyFont="1" applyNumberFormat="1">
      <alignment horizontal="center" readingOrder="0" shrinkToFit="0" vertical="center" wrapText="1"/>
    </xf>
    <xf borderId="1" fillId="0" fontId="4" numFmtId="2" xfId="0" applyAlignment="1" applyBorder="1" applyFont="1" applyNumberFormat="1">
      <alignment horizontal="center" readingOrder="0" shrinkToFit="0" vertical="center" wrapText="1"/>
    </xf>
    <xf borderId="10" fillId="13" fontId="11" numFmtId="0" xfId="0" applyAlignment="1" applyBorder="1" applyFill="1" applyFont="1">
      <alignment vertical="bottom"/>
    </xf>
    <xf borderId="10" fillId="13" fontId="12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5" numFmtId="0" xfId="0" applyFont="1"/>
    <xf borderId="0" fillId="0" fontId="15" numFmtId="0" xfId="0" applyFont="1"/>
    <xf borderId="10" fillId="14" fontId="12" numFmtId="0" xfId="0" applyAlignment="1" applyBorder="1" applyFill="1" applyFont="1">
      <alignment horizontal="center" vertical="bottom"/>
    </xf>
    <xf borderId="2" fillId="14" fontId="11" numFmtId="0" xfId="0" applyAlignment="1" applyBorder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10" fillId="14" fontId="12" numFmtId="0" xfId="0" applyAlignment="1" applyBorder="1" applyFont="1">
      <alignment horizontal="center" vertical="bottom"/>
    </xf>
    <xf borderId="10" fillId="14" fontId="11" numFmtId="0" xfId="0" applyAlignment="1" applyBorder="1" applyFont="1">
      <alignment vertical="bottom"/>
    </xf>
    <xf borderId="0" fillId="0" fontId="13" numFmtId="0" xfId="0" applyAlignment="1" applyFont="1">
      <alignment horizontal="center" readingOrder="0" vertical="bottom"/>
    </xf>
    <xf borderId="0" fillId="9" fontId="11" numFmtId="0" xfId="0" applyAlignment="1" applyFont="1">
      <alignment horizontal="center" readingOrder="0" vertical="bottom"/>
    </xf>
    <xf borderId="10" fillId="15" fontId="12" numFmtId="0" xfId="0" applyAlignment="1" applyBorder="1" applyFill="1" applyFont="1">
      <alignment horizontal="center" vertical="bottom"/>
    </xf>
    <xf borderId="10" fillId="15" fontId="11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9" xfId="0" applyAlignment="1" applyFont="1" applyNumberFormat="1">
      <alignment horizontal="right" vertical="bottom"/>
    </xf>
    <xf borderId="0" fillId="16" fontId="12" numFmtId="0" xfId="0" applyAlignment="1" applyFill="1" applyFont="1">
      <alignment horizontal="center" readingOrder="0" vertical="bottom"/>
    </xf>
    <xf borderId="0" fillId="2" fontId="12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16" fontId="12" numFmtId="169" xfId="0" applyAlignment="1" applyFont="1" applyNumberFormat="1">
      <alignment horizontal="center" readingOrder="0" vertical="bottom"/>
    </xf>
    <xf borderId="0" fillId="0" fontId="13" numFmtId="14" xfId="0" applyAlignment="1" applyFont="1" applyNumberFormat="1">
      <alignment readingOrder="0" vertical="bottom"/>
    </xf>
    <xf borderId="0" fillId="16" fontId="12" numFmtId="14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0" fillId="0" fontId="13" numFmtId="14" xfId="0" applyAlignment="1" applyFont="1" applyNumberFormat="1">
      <alignment vertical="bottom"/>
    </xf>
    <xf borderId="0" fillId="17" fontId="17" numFmtId="0" xfId="0" applyAlignment="1" applyFill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0" fillId="0" fontId="12" numFmtId="14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5" numFmtId="0" xfId="0" applyAlignment="1" applyFont="1">
      <alignment horizontal="center"/>
    </xf>
    <xf borderId="0" fillId="5" fontId="19" numFmtId="0" xfId="0" applyAlignment="1" applyFont="1">
      <alignment horizontal="center" readingOrder="0" shrinkToFit="0" wrapText="0"/>
    </xf>
    <xf borderId="0" fillId="0" fontId="20" numFmtId="0" xfId="0" applyAlignment="1" applyFont="1">
      <alignment horizontal="center" readingOrder="0" vertical="bottom"/>
    </xf>
    <xf borderId="0" fillId="0" fontId="15" numFmtId="14" xfId="0" applyFont="1" applyNumberFormat="1"/>
    <xf borderId="11" fillId="16" fontId="12" numFmtId="14" xfId="0" applyAlignment="1" applyBorder="1" applyFont="1" applyNumberFormat="1">
      <alignment horizontal="center" readingOrder="0" vertical="bottom"/>
    </xf>
    <xf borderId="12" fillId="2" fontId="12" numFmtId="0" xfId="0" applyAlignment="1" applyBorder="1" applyFont="1">
      <alignment horizontal="center" readingOrder="0" vertical="bottom"/>
    </xf>
    <xf borderId="0" fillId="0" fontId="21" numFmtId="0" xfId="0" applyAlignment="1" applyFont="1">
      <alignment horizontal="center" readingOrder="0"/>
    </xf>
    <xf borderId="0" fillId="16" fontId="22" numFmtId="0" xfId="0" applyAlignment="1" applyFont="1">
      <alignment horizontal="center" vertical="center"/>
    </xf>
    <xf borderId="0" fillId="16" fontId="23" numFmtId="0" xfId="0" applyAlignment="1" applyFont="1">
      <alignment horizontal="center" readingOrder="0" vertical="center"/>
    </xf>
    <xf borderId="0" fillId="16" fontId="24" numFmtId="0" xfId="0" applyAlignment="1" applyFont="1">
      <alignment horizontal="center" readingOrder="0" vertical="center"/>
    </xf>
    <xf borderId="0" fillId="16" fontId="24" numFmtId="0" xfId="0" applyAlignment="1" applyFont="1">
      <alignment horizontal="center" vertical="center"/>
    </xf>
    <xf borderId="13" fillId="18" fontId="22" numFmtId="0" xfId="0" applyAlignment="1" applyBorder="1" applyFill="1" applyFont="1">
      <alignment horizontal="center" vertical="center"/>
    </xf>
    <xf borderId="0" fillId="19" fontId="15" numFmtId="0" xfId="0" applyAlignment="1" applyFill="1" applyFont="1">
      <alignment horizontal="center" readingOrder="0" vertical="center"/>
    </xf>
    <xf borderId="0" fillId="9" fontId="15" numFmtId="0" xfId="0" applyAlignment="1" applyFont="1">
      <alignment horizontal="center" readingOrder="0" vertical="center"/>
    </xf>
    <xf borderId="0" fillId="20" fontId="15" numFmtId="0" xfId="0" applyAlignment="1" applyFill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13" fillId="21" fontId="22" numFmtId="0" xfId="0" applyAlignment="1" applyBorder="1" applyFill="1" applyFont="1">
      <alignment horizontal="center" vertical="center"/>
    </xf>
    <xf borderId="0" fillId="19" fontId="25" numFmtId="0" xfId="0" applyAlignment="1" applyFont="1">
      <alignment horizontal="center" readingOrder="0" vertical="center"/>
    </xf>
    <xf borderId="0" fillId="9" fontId="2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24" numFmtId="0" xfId="0" applyAlignment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26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22" fontId="27" numFmtId="0" xfId="0" applyAlignment="1" applyFill="1" applyFont="1">
      <alignment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27" numFmtId="10" xfId="0" applyAlignment="1" applyFont="1" applyNumberFormat="1">
      <alignment horizontal="right" readingOrder="0" shrinkToFit="0" vertical="bottom" wrapText="0"/>
    </xf>
    <xf borderId="0" fillId="23" fontId="27" numFmtId="0" xfId="0" applyAlignment="1" applyFill="1" applyFont="1">
      <alignment horizontal="center" readingOrder="0" shrinkToFit="0" vertical="bottom" wrapText="0"/>
    </xf>
    <xf borderId="0" fillId="6" fontId="27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27" numFmtId="0" xfId="0" applyAlignment="1" applyFont="1">
      <alignment shrinkToFit="0" vertical="bottom" wrapText="0"/>
    </xf>
    <xf borderId="0" fillId="23" fontId="27" numFmtId="10" xfId="0" applyAlignment="1" applyFont="1" applyNumberFormat="1">
      <alignment horizontal="right" readingOrder="0" shrinkToFit="0" vertical="bottom" wrapText="0"/>
    </xf>
    <xf borderId="0" fillId="6" fontId="27" numFmtId="10" xfId="0" applyAlignment="1" applyFont="1" applyNumberFormat="1">
      <alignment horizontal="right" readingOrder="0" shrinkToFit="0" vertical="bottom" wrapText="0"/>
    </xf>
    <xf borderId="0" fillId="0" fontId="27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readingOrder="0"/>
    </xf>
    <xf borderId="0" fillId="0" fontId="28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6" fillId="2" fontId="2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15" numFmtId="0" xfId="0" applyBorder="1" applyFont="1"/>
    <xf borderId="1" fillId="0" fontId="4" numFmtId="2" xfId="0" applyAlignment="1" applyBorder="1" applyFont="1" applyNumberFormat="1">
      <alignment horizontal="center" shrinkToFit="0" vertical="center" wrapText="1"/>
    </xf>
    <xf borderId="1" fillId="0" fontId="4" numFmtId="2" xfId="0" applyAlignment="1" applyBorder="1" applyFont="1" applyNumberFormat="1">
      <alignment horizontal="center"/>
    </xf>
    <xf borderId="9" fillId="0" fontId="4" numFmtId="2" xfId="0" applyAlignment="1" applyBorder="1" applyFont="1" applyNumberFormat="1">
      <alignment horizontal="center"/>
    </xf>
    <xf borderId="0" fillId="0" fontId="29" numFmtId="0" xfId="0" applyAlignment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shrinkToFit="0" vertical="center" wrapText="0"/>
    </xf>
    <xf borderId="1" fillId="0" fontId="30" numFmtId="0" xfId="0" applyAlignment="1" applyBorder="1" applyFont="1">
      <alignment horizontal="left"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0"/>
    </xf>
    <xf borderId="1" fillId="0" fontId="31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0" fontId="15" numFmtId="0" xfId="0" applyAlignment="1" applyBorder="1" applyFont="1">
      <alignment horizontal="left" shrinkToFit="0" vertical="center" wrapText="0"/>
    </xf>
    <xf borderId="0" fillId="0" fontId="32" numFmtId="0" xfId="0" applyAlignment="1" applyFont="1">
      <alignment readingOrder="0"/>
    </xf>
    <xf borderId="1" fillId="24" fontId="14" numFmtId="0" xfId="0" applyAlignment="1" applyBorder="1" applyFill="1" applyFont="1">
      <alignment horizontal="center"/>
    </xf>
    <xf borderId="1" fillId="25" fontId="14" numFmtId="0" xfId="0" applyAlignment="1" applyBorder="1" applyFill="1" applyFont="1">
      <alignment horizontal="center"/>
    </xf>
    <xf borderId="14" fillId="25" fontId="14" numFmtId="0" xfId="0" applyAlignment="1" applyBorder="1" applyFont="1">
      <alignment horizontal="center"/>
    </xf>
    <xf borderId="1" fillId="20" fontId="14" numFmtId="0" xfId="0" applyAlignment="1" applyBorder="1" applyFont="1">
      <alignment horizontal="center"/>
    </xf>
    <xf borderId="15" fillId="9" fontId="14" numFmtId="0" xfId="0" applyAlignment="1" applyBorder="1" applyFont="1">
      <alignment horizontal="center"/>
    </xf>
    <xf borderId="1" fillId="9" fontId="14" numFmtId="0" xfId="0" applyAlignment="1" applyBorder="1" applyFont="1">
      <alignment horizontal="center"/>
    </xf>
    <xf borderId="11" fillId="0" fontId="13" numFmtId="14" xfId="0" applyAlignment="1" applyBorder="1" applyFont="1" applyNumberFormat="1">
      <alignment horizontal="center" readingOrder="0" vertical="center"/>
    </xf>
    <xf borderId="12" fillId="0" fontId="13" numFmtId="0" xfId="0" applyAlignment="1" applyBorder="1" applyFont="1">
      <alignment horizontal="center" readingOrder="0" vertical="center"/>
    </xf>
    <xf borderId="12" fillId="0" fontId="13" numFmtId="14" xfId="0" applyAlignment="1" applyBorder="1" applyFont="1" applyNumberFormat="1">
      <alignment horizontal="center" vertical="center"/>
    </xf>
    <xf borderId="16" fillId="0" fontId="13" numFmtId="0" xfId="0" applyAlignment="1" applyBorder="1" applyFont="1">
      <alignment horizontal="center" readingOrder="0" vertical="center"/>
    </xf>
    <xf borderId="17" fillId="0" fontId="13" numFmtId="14" xfId="0" applyAlignment="1" applyBorder="1" applyFont="1" applyNumberFormat="1">
      <alignment horizontal="center" vertical="center"/>
    </xf>
    <xf borderId="0" fillId="0" fontId="13" numFmtId="14" xfId="0" applyAlignment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18" fillId="0" fontId="13" numFmtId="0" xfId="0" applyAlignment="1" applyBorder="1" applyFont="1">
      <alignment horizontal="center" readingOrder="0" vertical="center"/>
    </xf>
    <xf borderId="0" fillId="0" fontId="13" numFmtId="14" xfId="0" applyFont="1" applyNumberFormat="1"/>
    <xf borderId="18" fillId="0" fontId="13" numFmtId="14" xfId="0" applyAlignment="1" applyBorder="1" applyFont="1" applyNumberFormat="1">
      <alignment horizontal="center" vertical="center"/>
    </xf>
    <xf borderId="18" fillId="0" fontId="13" numFmtId="14" xfId="0" applyBorder="1" applyFont="1" applyNumberFormat="1"/>
    <xf borderId="17" fillId="20" fontId="13" numFmtId="14" xfId="0" applyAlignment="1" applyBorder="1" applyFont="1" applyNumberFormat="1">
      <alignment horizontal="center" vertical="center"/>
    </xf>
    <xf borderId="18" fillId="0" fontId="10" numFmtId="0" xfId="0" applyBorder="1" applyFont="1"/>
    <xf borderId="17" fillId="0" fontId="13" numFmtId="14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center" readingOrder="0"/>
    </xf>
    <xf borderId="0" fillId="0" fontId="15" numFmtId="170" xfId="0" applyAlignment="1" applyFont="1" applyNumberFormat="1">
      <alignment readingOrder="0"/>
    </xf>
    <xf borderId="19" fillId="0" fontId="13" numFmtId="14" xfId="0" applyAlignment="1" applyBorder="1" applyFont="1" applyNumberFormat="1">
      <alignment horizontal="center" vertical="center"/>
    </xf>
    <xf borderId="20" fillId="0" fontId="13" numFmtId="14" xfId="0" applyAlignment="1" applyBorder="1" applyFont="1" applyNumberFormat="1">
      <alignment horizontal="center" vertical="center"/>
    </xf>
    <xf borderId="21" fillId="0" fontId="13" numFmtId="14" xfId="0" applyAlignment="1" applyBorder="1" applyFont="1" applyNumberFormat="1">
      <alignment horizontal="center" vertical="center"/>
    </xf>
    <xf borderId="0" fillId="0" fontId="33" numFmtId="0" xfId="0" applyAlignment="1" applyFont="1">
      <alignment horizontal="center" vertical="center"/>
    </xf>
    <xf borderId="22" fillId="0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0" fillId="0" fontId="34" numFmtId="0" xfId="0" applyFont="1"/>
    <xf borderId="0" fillId="0" fontId="13" numFmtId="0" xfId="0" applyFont="1"/>
    <xf borderId="3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readingOrder="0" shrinkToFit="0" vertical="center" wrapText="1"/>
    </xf>
    <xf borderId="1" fillId="0" fontId="13" numFmtId="167" xfId="0" applyAlignment="1" applyBorder="1" applyFont="1" applyNumberFormat="1">
      <alignment horizontal="center"/>
    </xf>
    <xf borderId="0" fillId="0" fontId="13" numFmtId="0" xfId="0" applyAlignment="1" applyFont="1">
      <alignment horizontal="left"/>
    </xf>
    <xf borderId="0" fillId="8" fontId="1" numFmtId="0" xfId="0" applyAlignment="1" applyFont="1">
      <alignment horizontal="center" shrinkToFit="0" vertical="center" wrapText="1"/>
    </xf>
    <xf borderId="24" fillId="8" fontId="1" numFmtId="0" xfId="0" applyAlignment="1" applyBorder="1" applyFont="1">
      <alignment horizontal="center" shrinkToFit="0" vertical="center" wrapText="1"/>
    </xf>
    <xf borderId="25" fillId="0" fontId="10" numFmtId="0" xfId="0" applyBorder="1" applyFont="1"/>
    <xf borderId="26" fillId="0" fontId="10" numFmtId="0" xfId="0" applyBorder="1" applyFont="1"/>
    <xf borderId="10" fillId="26" fontId="2" numFmtId="0" xfId="0" applyAlignment="1" applyBorder="1" applyFill="1" applyFont="1">
      <alignment horizontal="center" readingOrder="0" shrinkToFit="0" vertical="center" wrapText="1"/>
    </xf>
    <xf borderId="10" fillId="8" fontId="2" numFmtId="0" xfId="0" applyAlignment="1" applyBorder="1" applyFont="1">
      <alignment horizontal="center" readingOrder="0" shrinkToFit="0" vertical="center" wrapText="1"/>
    </xf>
    <xf borderId="27" fillId="8" fontId="1" numFmtId="0" xfId="0" applyAlignment="1" applyBorder="1" applyFont="1">
      <alignment horizontal="center" shrinkToFit="0" vertical="center" wrapText="1"/>
    </xf>
    <xf borderId="15" fillId="8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28" fillId="8" fontId="1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left"/>
    </xf>
    <xf borderId="1" fillId="27" fontId="3" numFmtId="166" xfId="0" applyAlignment="1" applyBorder="1" applyFill="1" applyFont="1" applyNumberFormat="1">
      <alignment horizontal="center"/>
    </xf>
    <xf borderId="1" fillId="4" fontId="6" numFmtId="166" xfId="0" applyAlignment="1" applyBorder="1" applyFont="1" applyNumberFormat="1">
      <alignment horizontal="center"/>
    </xf>
    <xf borderId="0" fillId="0" fontId="3" numFmtId="0" xfId="0" applyFont="1"/>
    <xf borderId="9" fillId="0" fontId="6" numFmtId="0" xfId="0" applyAlignment="1" applyBorder="1" applyFont="1">
      <alignment horizontal="center" readingOrder="0"/>
    </xf>
    <xf borderId="9" fillId="0" fontId="6" numFmtId="2" xfId="0" applyAlignment="1" applyBorder="1" applyFont="1" applyNumberFormat="1">
      <alignment horizontal="center"/>
    </xf>
    <xf borderId="29" fillId="4" fontId="6" numFmtId="166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/>
    </xf>
    <xf borderId="9" fillId="0" fontId="4" numFmtId="0" xfId="0" applyAlignment="1" applyBorder="1" applyFont="1">
      <alignment horizontal="center" readingOrder="0" vertical="center"/>
    </xf>
    <xf borderId="1" fillId="4" fontId="6" numFmtId="166" xfId="0" applyAlignment="1" applyBorder="1" applyFont="1" applyNumberFormat="1">
      <alignment horizontal="center" readingOrder="0"/>
    </xf>
    <xf borderId="30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left"/>
    </xf>
    <xf borderId="31" fillId="4" fontId="6" numFmtId="166" xfId="0" applyAlignment="1" applyBorder="1" applyFont="1" applyNumberFormat="1">
      <alignment horizontal="center"/>
    </xf>
    <xf borderId="30" fillId="0" fontId="6" numFmtId="0" xfId="0" applyAlignment="1" applyBorder="1" applyFont="1">
      <alignment horizontal="center" readingOrder="0"/>
    </xf>
    <xf borderId="30" fillId="0" fontId="6" numFmtId="0" xfId="0" applyAlignment="1" applyBorder="1" applyFont="1">
      <alignment horizontal="left" readingOrder="0"/>
    </xf>
    <xf borderId="31" fillId="4" fontId="6" numFmtId="166" xfId="0" applyAlignment="1" applyBorder="1" applyFont="1" applyNumberFormat="1">
      <alignment horizontal="center" readingOrder="0"/>
    </xf>
    <xf borderId="32" fillId="0" fontId="6" numFmtId="0" xfId="0" applyAlignment="1" applyBorder="1" applyFont="1">
      <alignment horizontal="center"/>
    </xf>
    <xf borderId="33" fillId="0" fontId="6" numFmtId="0" xfId="0" applyAlignment="1" applyBorder="1" applyFont="1">
      <alignment horizontal="center"/>
    </xf>
    <xf borderId="34" fillId="4" fontId="6" numFmtId="166" xfId="0" applyAlignment="1" applyBorder="1" applyFont="1" applyNumberFormat="1">
      <alignment horizontal="center"/>
    </xf>
    <xf borderId="30" fillId="4" fontId="6" numFmtId="166" xfId="0" applyAlignment="1" applyBorder="1" applyFont="1" applyNumberFormat="1">
      <alignment horizontal="center"/>
    </xf>
    <xf borderId="31" fillId="0" fontId="6" numFmtId="166" xfId="0" applyAlignment="1" applyBorder="1" applyFont="1" applyNumberFormat="1">
      <alignment horizontal="center"/>
    </xf>
    <xf borderId="30" fillId="4" fontId="6" numFmtId="166" xfId="0" applyAlignment="1" applyBorder="1" applyFont="1" applyNumberFormat="1">
      <alignment horizontal="center" readingOrder="0"/>
    </xf>
    <xf borderId="30" fillId="0" fontId="6" numFmtId="166" xfId="0" applyAlignment="1" applyBorder="1" applyFont="1" applyNumberFormat="1">
      <alignment horizontal="center"/>
    </xf>
    <xf borderId="1" fillId="12" fontId="3" numFmtId="166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horizontal="left"/>
    </xf>
    <xf borderId="15" fillId="4" fontId="6" numFmtId="166" xfId="0" applyAlignment="1" applyBorder="1" applyFont="1" applyNumberFormat="1">
      <alignment horizontal="center"/>
    </xf>
    <xf borderId="1" fillId="0" fontId="6" numFmtId="0" xfId="0" applyBorder="1" applyFont="1"/>
    <xf borderId="6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" fillId="0" fontId="4" numFmtId="0" xfId="0" applyAlignment="1" applyBorder="1" applyFont="1">
      <alignment horizontal="left" vertical="center"/>
    </xf>
    <xf borderId="6" fillId="0" fontId="6" numFmtId="0" xfId="0" applyBorder="1" applyFont="1"/>
    <xf borderId="0" fillId="0" fontId="15" numFmtId="166" xfId="0" applyFont="1" applyNumberFormat="1"/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ule Proposals-style">
      <tableStyleElement dxfId="11" type="headerRow"/>
      <tableStyleElement dxfId="12" type="firstRowStripe"/>
      <tableStyleElement dxfId="13" type="secondRowStripe"/>
      <tableStyleElement dxfId="1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M337" sheet="2026 Master List"/>
  </cacheSource>
  <cacheFields>
    <cacheField name="Team" numFmtId="0">
      <sharedItems containsBlank="1">
        <s v="A. Zurek"/>
        <s v="Abad"/>
        <s v="Bill"/>
        <s v="Cantone"/>
        <m/>
        <s v="Dugan"/>
        <s v="Faybik"/>
        <s v="Foley"/>
        <s v="Jared"/>
        <s v="Jason"/>
        <s v="M. Zurek"/>
        <s v="Ryan"/>
        <s v="Wayne"/>
      </sharedItems>
    </cacheField>
    <cacheField name="Position" numFmtId="0">
      <sharedItems containsBlank="1">
        <s v="WR"/>
        <s v="RB"/>
        <s v="QB"/>
        <s v="TE"/>
        <s v="Draft Pick"/>
        <m/>
      </sharedItems>
    </cacheField>
    <cacheField name="Player " numFmtId="0">
      <sharedItems containsBlank="1">
        <s v="Stefon Diggs"/>
        <s v="Chris Godwin"/>
        <s v="Ricky Pearsall"/>
        <s v="Tyrone Tracy Jr"/>
        <s v="Josh Downs"/>
        <s v="Cam Ward"/>
        <s v="Cedric Tillman"/>
        <s v="Jake Ferguson"/>
        <s v="Matthew Stafford"/>
        <s v="Kyle Monangai"/>
        <s v="Omarion Hampton"/>
        <s v="Dalton Kincaid"/>
        <s v="Tyjae Spears"/>
        <s v="Jaxson Dart"/>
        <s v="Matthew Golden"/>
        <s v="Jayden Higgins"/>
        <s v="2026 1st Round Pick"/>
        <s v="2026 2nd Round Pick"/>
        <s v="Jaylen Wright"/>
        <s v="Tre Tucker"/>
        <s v="Jaxon Smith-Njigba"/>
        <s v="JaMarr Chase"/>
        <s v="Justin Jefferson"/>
        <s v="James Cook"/>
        <s v="Patrick Mahomes"/>
        <s v="Chase Brown"/>
        <s v="Jerry Jeudy"/>
        <s v="Caleb Williams"/>
        <s v="Travis Kelce"/>
        <s v="Aaron Jones"/>
        <s v="Deebo Samuel"/>
        <s v="Jordan Mason"/>
        <s v="Mark Andrews"/>
        <s v="Marvin Mims Jr"/>
        <s v="Ray Davis"/>
        <s v="Kirk Cousins"/>
        <s v="Samaje Perine"/>
        <s v="Ty Johnson"/>
        <s v="Bam Knight"/>
        <s v="Christian McCaffrey"/>
        <s v="Breece Hall"/>
        <s v="Justin Herbert"/>
        <s v="Rashee Rice "/>
        <s v="Baker Mayfield"/>
        <s v="Jaylen Warren"/>
        <s v="Ladd McConkey"/>
        <s v="Braelon Allen"/>
        <s v="Keenan Allen"/>
        <s v="Kaleb Johnson"/>
        <s v="Jayden Blue"/>
        <s v="Jack Bech"/>
        <s v="Dallas Goedert"/>
        <s v="2026 1.04"/>
        <s v="Isaiah Likely"/>
        <s v="Brashard Smith"/>
        <s v="Kenneth Gainwell"/>
        <s v="Quinn Ewers"/>
        <s v="Malik Davis"/>
        <s v="Taysom Hill"/>
        <s v="Kendrick Bourne"/>
        <s v="Javonte Williams"/>
        <s v="C.J. Stroud"/>
        <s v="Jauan Jennings"/>
        <s v="J.J. McCarthy"/>
        <s v="James Conner"/>
        <s v="Terry McLaurin"/>
        <s v="Daniel Jones"/>
        <s v="Nick Chubb"/>
        <s v="Travis Hunter"/>
        <s v="Quinshon Judkins"/>
        <s v="2026 1.03"/>
        <s v="Colston Loveland"/>
        <s v="Justice Hill"/>
        <s v="Kareem Hunt"/>
        <s v="Woody Marks"/>
        <s v="Tank Bigsby"/>
        <s v="Christian Watson"/>
        <s v="Chimere Dike"/>
        <s v="Chris Brooks"/>
        <s v="Davis Mills"/>
        <s v="Juwan Johnson"/>
        <s v="Quentin Johnston"/>
        <s v="Spencer Rattler"/>
        <s v="Michael Penix"/>
        <s v="Jordan Love"/>
        <s v="2026 1.01"/>
        <s v="Tucker Kraft"/>
        <s v="Rome Odunze"/>
        <s v="Garrett Wilson"/>
        <s v="Jacory Croskey-Merritt"/>
        <s v="Chris Olave"/>
        <s v="Tua Tagovailoa"/>
        <s v="Zach Charbonnet"/>
        <s v="Khalil Shakir"/>
        <s v="Jayden Reed"/>
        <s v="Romeo Doubs"/>
        <s v="Tyler Shough"/>
        <s v="Tory Horton"/>
        <s v="Devin Singletary"/>
        <s v="Jeremy McNichols"/>
        <s v="AJ Barner"/>
        <s v="Isaiah Davis"/>
        <s v="Troy Franklin"/>
        <s v="Tyler Badie"/>
        <s v="Jaylen Waddle"/>
        <s v="Emari Demercado"/>
        <s v="Sam Darnold"/>
        <s v="Bo Nix"/>
        <s v="TJ Hockenson"/>
        <s v="George Kittle"/>
        <s v="Xavier Worthy"/>
        <s v="DeVonta Smith"/>
        <s v="D'Andre Swift"/>
        <s v="Brian Robinson Jr"/>
        <s v="Kyle Pitts"/>
        <s v="George Pickens"/>
        <s v="Hollywood Brown"/>
        <s v="Jordan Addison"/>
        <s v="Jalen Coker"/>
        <s v="Audric Estime"/>
        <s v="Emanuel Wilson"/>
        <s v="Kayshon Boutte"/>
        <s v="Michael Carter"/>
        <s v="Riley Leonard"/>
        <s v="Isaiah Bond"/>
        <s v="Devin Neal"/>
        <s v="Bijan Robinson "/>
        <s v="Zay Flowers"/>
        <s v="Marvin Harrison Jr"/>
        <s v="JK Dobbins"/>
        <s v="Geno Smith"/>
        <s v="Michael Pittman"/>
        <s v="Travis Etienne"/>
        <s v="Rhamondre Stevenson"/>
        <s v="Dylan Sampson"/>
        <s v="Tetairoa McMillan"/>
        <s v="Bayshul Tuten"/>
        <s v="Dillon Gabriel"/>
        <s v="Wan'Dale Robinson"/>
        <s v="Cam Skattebo"/>
        <s v="Kenny Pickett"/>
        <s v="Rashid Shaheed"/>
        <s v="Chris Rodriguez Jr."/>
        <s v="Brady Cook"/>
        <s v="Malik Washington"/>
        <s v="Hunter Henry"/>
        <s v="Lamar Jackson"/>
        <s v="2026 1.02"/>
        <s v="Trey Lance"/>
        <s v="Brock Purdy"/>
        <s v="Trevor Lawrence"/>
        <s v="Bucky Irving"/>
        <s v="Brian Thomas Jr"/>
        <s v="Jakobi Meyers"/>
        <s v="Brock Bowers"/>
        <s v="CeeDee Lamb"/>
        <s v="Dak Prescott"/>
        <s v="Brandon Aiyuk"/>
        <s v="Ashton Jeanty"/>
        <s v="Luther Burden"/>
        <s v="Elic Ayomanor"/>
        <s v="Pat Bryant"/>
        <s v="Parker Washington"/>
        <s v="Trevor Etienne"/>
        <s v="Malik Willis"/>
        <s v="Sean Tucker"/>
        <s v="Alec Pierce"/>
        <s v="Dont'e Thornton Jr"/>
        <s v="Isaac TeSlaa"/>
        <s v="Amon-Ra St. Brown"/>
        <s v="Drake London"/>
        <s v="Nico Collins"/>
        <s v="Chuba Hubbard"/>
        <s v="Joe Flacco"/>
        <s v="Derrick Henry"/>
        <s v="Jared Goff"/>
        <s v="Kenneth Walker III"/>
        <s v="Sam Laporta "/>
        <s v="Rico Dowdle"/>
        <s v="AJ Brown"/>
        <s v="Jacoby Brissett"/>
        <s v="Calvin Ridley"/>
        <s v="Theo Johnson"/>
        <s v="Harold Fannin Jr."/>
        <s v="Keon Coleman"/>
        <s v="Mike Evans"/>
        <s v="Austin Ekeler"/>
        <s v="KaVontae Turpin"/>
        <s v="Andrei Iosivas"/>
        <s v="Brenton Strange"/>
        <s v="Keaton Mitchell"/>
        <s v="Mac Jones"/>
        <s v="Josh Allen"/>
        <s v="Jahmyr Gibbs"/>
        <s v="Trey McBride"/>
        <s v="Kyren Williams"/>
        <s v="Jameson Williams"/>
        <s v="Jayden Daniels"/>
        <s v="Blake Corum"/>
        <s v="Saquon Barkley"/>
        <s v="Davante Adams"/>
        <s v="Jalen Milroe"/>
        <s v="Joe Mixon"/>
        <s v="Phil Mafah"/>
        <s v="Joe Milton"/>
        <s v="Tanner McKee"/>
        <s v="Justin Fields"/>
        <s v="Zach Ertz"/>
        <s v="Michael Wilson"/>
        <s v="Tahj Brooks"/>
        <s v="Jerome Ford"/>
        <s v="Jonathan Brooks"/>
        <s v="Jarquez Hunter"/>
        <s v="Jalen McMillan"/>
        <s v="Josh Jacobs"/>
        <s v="Alvin Kamara"/>
        <s v="Jameis Winston"/>
        <s v="Tank Dell"/>
        <s v="David Njoku"/>
        <s v="Tee Higgins"/>
        <s v="Xavier Legette"/>
        <s v="Evan Engram"/>
        <s v="Russell Wilson"/>
        <s v="Roschon Johnson"/>
        <s v="Will Shipley"/>
        <s v="Joshua Palmer"/>
        <s v="Najee Harris"/>
        <s v="Darnell Mooney"/>
        <s v="Jimmy Garoppolo"/>
        <s v="Malik Nabers"/>
        <s v="Bryce Young"/>
        <s v="Drake Maye"/>
        <s v="Tony Pollard"/>
        <s v="Isiah Pacheco"/>
        <s v="Isaac Guerendo"/>
        <s v="DJ Moore"/>
        <s v="DK Metcalf"/>
        <s v="Ray-Ray McCloud"/>
        <s v="Adam Thielen"/>
        <s v="Jonnu Smith"/>
        <s v="Nick Westbrook-Ikhine"/>
        <s v="Rashod Bateman"/>
        <s v="Trey Benson"/>
        <s v="Kendre Miller"/>
        <s v="Anthony Richardson"/>
        <s v="Emeka Egbuka"/>
        <s v="Tyler Warren"/>
        <s v="TreVeyon Henderson"/>
        <s v="Christian Kirk"/>
        <s v="RJ Harvey"/>
        <s v="DeMario Douglas"/>
        <s v="Tre Harris"/>
        <s v="Cade Otton"/>
        <s v="MarShawn Lloyd"/>
        <s v="Elijah Arroyo"/>
        <s v="Tyler Allgeier"/>
        <s v="Shedeur Sanders"/>
        <s v="Oronde Gadsden"/>
        <s v="Kyle Williams"/>
        <s v="Kimani Vidal"/>
        <s v="Joe Burrow"/>
        <s v="Courtland Sutton"/>
        <s v="Puka Nacua"/>
        <s v="De'Von Achane"/>
        <s v="Jonathan Taylor"/>
        <s v="Jalen Hurts"/>
        <s v="Kyler Murray"/>
        <s v="David Montgomery"/>
        <s v="Ollie Gordon"/>
        <s v="Cooper Kupp"/>
        <s v="Aaron Rodgers"/>
        <s v="Mason Taylor"/>
        <s v="Rachaad White"/>
        <s v="Darren Waller"/>
        <s v="Tyreek Hill"/>
        <s v="Dalton Schultz"/>
        <s v="Jaylin Noel"/>
        <s v="Colby Parkinson"/>
        <s v="Terrance Ferguson"/>
        <s v="Adonai Mitchell"/>
        <s v="DJ Giddens"/>
        <s v="Aiden O'Connell"/>
        <s v="Alexander Mattison"/>
        <s v="Amari Cooper"/>
        <s v="Ameer Abdullah"/>
        <s v="Antonio Gibson"/>
        <s v="Ben Sinnott"/>
        <s v="Brandon Cooks"/>
        <s v="Cam Akers"/>
        <s v="Carson Wentz"/>
        <s v="Cooper Rush"/>
        <s v="Craig Reynolds"/>
        <s v="DeAndre Hopkins"/>
        <s v="Derek Carr"/>
        <s v="Deshaun Watson"/>
        <s v="Diontae Johnson"/>
        <s v="Dontayvion Wicks"/>
        <s v="Dorian Thompson-Robinson"/>
        <s v="Drew Lock"/>
        <s v="Elijah Moore"/>
        <s v="Gabe Davis"/>
        <s v="Gus Edwards"/>
        <s v="Hassan Haskins"/>
        <s v="Hendon Hooker"/>
        <s v="Ja'Tavion Sanders"/>
        <m/>
      </sharedItems>
    </cacheField>
    <cacheField name="2026 Price" numFmtId="166">
      <sharedItems containsSemiMixedTypes="0" containsString="0" containsNumber="1" containsInteger="1">
        <n v="25.0"/>
        <n v="19.0"/>
        <n v="16.0"/>
        <n v="9.0"/>
        <n v="7.0"/>
        <n v="6.0"/>
        <n v="2.0"/>
        <n v="1.0"/>
        <n v="32.0"/>
        <n v="77.0"/>
        <n v="61.0"/>
        <n v="52.0"/>
        <n v="45.0"/>
        <n v="17.0"/>
        <n v="15.0"/>
        <n v="12.0"/>
        <n v="11.0"/>
        <n v="10.0"/>
        <n v="62.0"/>
        <n v="34.0"/>
        <n v="31.0"/>
        <n v="24.0"/>
        <n v="20.0"/>
        <n v="14.0"/>
        <n v="30.0"/>
        <n v="40.0"/>
        <n v="21.0"/>
        <n v="35.0"/>
        <n v="8.0"/>
        <n v="65.0"/>
        <n v="28.0"/>
        <n v="36.0"/>
        <n v="76.0"/>
        <n v="51.0"/>
        <n v="56.0"/>
        <n v="29.0"/>
        <n v="22.0"/>
        <n v="46.0"/>
        <n v="18.0"/>
        <n v="74.0"/>
        <n v="64.0"/>
        <n v="63.0"/>
        <n v="27.0"/>
        <n v="59.0"/>
        <n v="38.0"/>
        <n v="5.0"/>
        <n v="0.0"/>
      </sharedItems>
    </cacheField>
    <cacheField name="2027 Price" numFmtId="166">
      <sharedItems containsSemiMixedTypes="0" containsString="0" containsNumber="1" containsInteger="1">
        <n v="40.0"/>
        <n v="34.0"/>
        <n v="31.0"/>
        <n v="19.0"/>
        <n v="17.0"/>
        <n v="16.0"/>
        <n v="7.0"/>
        <n v="6.0"/>
        <n v="52.0"/>
        <n v="107.0"/>
        <n v="71.0"/>
        <n v="77.0"/>
        <n v="55.0"/>
        <n v="32.0"/>
        <n v="26.0"/>
        <n v="25.0"/>
        <n v="22.0"/>
        <n v="21.0"/>
        <n v="20.0"/>
        <n v="72.0"/>
        <n v="49.0"/>
        <n v="51.0"/>
        <n v="39.0"/>
        <n v="30.0"/>
        <n v="24.0"/>
        <n v="60.0"/>
        <n v="42.0"/>
        <n v="29.0"/>
        <n v="36.0"/>
        <n v="45.0"/>
        <n v="27.0"/>
        <n v="18.0"/>
        <n v="80.0"/>
        <n v="43.0"/>
        <n v="46.0"/>
        <n v="106.0"/>
        <n v="76.0"/>
        <n v="66.0"/>
        <n v="56.0"/>
        <n v="28.0"/>
        <n v="89.0"/>
        <n v="74.0"/>
        <n v="88.0"/>
        <n v="35.0"/>
        <n v="37.0"/>
        <n v="78.0"/>
        <n v="75.0"/>
        <n v="69.0"/>
        <n v="48.0"/>
        <n v="15.0"/>
        <n v="0.0"/>
      </sharedItems>
    </cacheField>
    <cacheField name="2028 Price" numFmtId="166">
      <sharedItems containsSemiMixedTypes="0" containsString="0" containsNumber="1" containsInteger="1">
        <n v="60.0"/>
        <n v="54.0"/>
        <n v="51.0"/>
        <n v="34.0"/>
        <n v="32.0"/>
        <n v="31.0"/>
        <n v="17.0"/>
        <n v="16.0"/>
        <n v="77.0"/>
        <n v="142.0"/>
        <n v="86.0"/>
        <n v="107.0"/>
        <n v="70.0"/>
        <n v="52.0"/>
        <n v="41.0"/>
        <n v="40.0"/>
        <n v="37.0"/>
        <n v="36.0"/>
        <n v="35.0"/>
        <n v="87.0"/>
        <n v="69.0"/>
        <n v="76.0"/>
        <n v="59.0"/>
        <n v="45.0"/>
        <n v="39.0"/>
        <n v="55.0"/>
        <n v="49.0"/>
        <n v="85.0"/>
        <n v="57.0"/>
        <n v="46.0"/>
        <n v="44.0"/>
        <n v="56.0"/>
        <n v="80.0"/>
        <n v="65.0"/>
        <n v="42.0"/>
        <n v="33.0"/>
        <n v="100.0"/>
        <n v="63.0"/>
        <n v="61.0"/>
        <n v="141.0"/>
        <n v="106.0"/>
        <n v="81.0"/>
        <n v="47.0"/>
        <n v="71.0"/>
        <n v="43.0"/>
        <n v="109.0"/>
        <n v="89.0"/>
        <n v="118.0"/>
        <n v="50.0"/>
        <n v="62.0"/>
        <n v="98.0"/>
        <n v="90.0"/>
        <n v="84.0"/>
        <n v="30.0"/>
        <n v="5.0"/>
      </sharedItems>
    </cacheField>
    <cacheField name="Original Price" numFmtId="167">
      <sharedItems containsString="0" containsBlank="1" containsNumber="1" containsInteger="1">
        <n v="10.0"/>
        <n v="4.0"/>
        <n v="1.0"/>
        <n v="2.0"/>
        <n v="56.0"/>
        <n v="40.0"/>
        <n v="11.0"/>
        <n v="7.0"/>
        <n v="6.0"/>
        <n v="5.0"/>
        <n v="57.0"/>
        <n v="19.0"/>
        <n v="9.0"/>
        <n v="15.0"/>
        <n v="25.0"/>
        <n v="27.0"/>
        <n v="16.0"/>
        <n v="14.0"/>
        <n v="12.0"/>
        <n v="3.0"/>
        <n v="50.0"/>
        <n v="13.0"/>
        <n v="31.0"/>
        <n v="51.0"/>
        <n v="24.0"/>
        <n v="17.0"/>
        <n v="41.0"/>
        <n v="59.0"/>
        <n v="20.0"/>
        <n v="22.0"/>
        <n v="48.0"/>
        <n v="60.0"/>
        <n v="54.0"/>
        <n v="33.0"/>
        <n v="0.0"/>
        <m/>
      </sharedItems>
    </cacheField>
    <cacheField name="Purchase Year" numFmtId="0">
      <sharedItems containsString="0" containsBlank="1" containsNumber="1" containsInteger="1">
        <n v="2024.0"/>
        <n v="2025.0"/>
        <n v="2026.0"/>
        <n v="2023.0"/>
        <n v="2021.0"/>
        <n v="2022.0"/>
        <m/>
      </sharedItems>
    </cacheField>
    <cacheField name="Contract Year" numFmtId="0">
      <sharedItems containsString="0" containsBlank="1" containsNumber="1" containsInteger="1">
        <n v="3.0"/>
        <n v="2.0"/>
        <n v="1.0"/>
        <n v="4.0"/>
        <n v="6.0"/>
        <n v="5.0"/>
        <m/>
      </sharedItems>
    </cacheField>
    <cacheField name="Player Pool" numFmtId="166">
      <sharedItems containsBlank="1">
        <s v="Auction"/>
        <s v="Rookie Draft"/>
        <s v="Draft Pick"/>
        <s v="Free Agent"/>
        <m/>
      </sharedItems>
    </cacheField>
    <cacheField name="Rookie Round" numFmtId="0">
      <sharedItems containsString="0" containsBlank="1" containsNumber="1" containsInteger="1">
        <m/>
        <n v="2.0"/>
        <n v="1.0"/>
      </sharedItems>
    </cacheField>
    <cacheField name="Draft Year" numFmtId="0">
      <sharedItems containsString="0" containsBlank="1" containsNumber="1" containsInteger="1">
        <m/>
        <n v="2024.0"/>
        <n v="2025.0"/>
        <n v="2026.0"/>
      </sharedItems>
    </cacheField>
    <cacheField name="Trade History" numFmtId="0">
      <sharedItems containsBlank="1">
        <m/>
        <s v="via Bill"/>
        <s v="via Cantone, Ryan"/>
        <s v="via Dugan, Jason, Bill"/>
        <s v="via M. Zurek, Ryan"/>
        <s v="via Cantone, Abad"/>
        <s v="via Faybik, M. Zurek"/>
        <s v="via Bill, Ryan"/>
        <s v="via Wayne, M. Zurek"/>
        <s v="via Faybik"/>
        <s v="via Jason, Faybik, Jason"/>
        <s v="via Foley"/>
        <s v="via Wayne"/>
        <s v="via Dugan"/>
        <s v="via M. Zurek, Jason"/>
        <s v="via Abad"/>
        <s v="via Jason, Faybik"/>
        <s v="via Foley, Cantone"/>
        <s v="via A. Zurek, Bil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x Dat Ass" cacheId="0" dataCaption="" compact="0" compactData="0">
  <location ref="A4:B17" firstHeaderRow="0" firstDataRow="1" firstDataCol="0" rowPageCount="1" colPageCount="1"/>
  <pivotFields>
    <pivotField name="Team" axis="axisRow" compact="0" outline="0" multipleItemSelectionAllowed="1" showAll="0" sortType="descending">
      <items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osition" axis="axisPage" compact="0" outline="0" multipleItemSelectionAllowed="1" showAll="0">
      <items>
        <item x="0"/>
        <item x="1"/>
        <item x="2"/>
        <item x="3"/>
        <item h="1" x="4"/>
        <item h="1" x="5"/>
        <item t="default"/>
      </items>
    </pivotField>
    <pivotField name="Play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name="2026 Pri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2027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2028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Original Pric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urchase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ract 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layer Pool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Rookie Round" compact="0" outline="0" multipleItemSelectionAllowed="1" showAll="0">
      <items>
        <item x="0"/>
        <item x="1"/>
        <item x="2"/>
        <item t="default"/>
      </items>
    </pivotField>
    <pivotField name="Draft Year" compact="0" outline="0" multipleItemSelectionAllowed="1" showAll="0">
      <items>
        <item x="0"/>
        <item x="1"/>
        <item x="2"/>
        <item x="3"/>
        <item t="default"/>
      </items>
    </pivotField>
    <pivotField name="Trade His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pageFields>
    <pageField fld="1"/>
  </pageFields>
  <dataFields>
    <dataField name="SUM of 2026 Price" fld="3" baseField="0"/>
  </dataFields>
</pivotTableDefinition>
</file>

<file path=xl/tables/table1.xml><?xml version="1.0" encoding="utf-8"?>
<table xmlns="http://schemas.openxmlformats.org/spreadsheetml/2006/main" ref="A1:F16" displayName="Table1" name="Table1" id="1">
  <tableColumns count="6">
    <tableColumn name="Proposal Title" id="1"/>
    <tableColumn name="Year(s) Proposed" id="2"/>
    <tableColumn name="Proposed By" id="3"/>
    <tableColumn name="Rule Description" id="4"/>
    <tableColumn name="Reason for Change" id="5"/>
    <tableColumn name="Additional Details" id="6"/>
  </tableColumns>
  <tableStyleInfo name="Rule Propos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lfa-sXYGQJsbm05wHFshTrl4qsZEZizJOiEL3TUdPyU/edit?tab=t.0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1.0"/>
    <col customWidth="1" min="3" max="3" width="35.38"/>
    <col customWidth="1" min="4" max="4" width="26.63"/>
  </cols>
  <sheetData>
    <row r="2">
      <c r="B2" s="1" t="s">
        <v>0</v>
      </c>
      <c r="C2" s="1" t="s">
        <v>1</v>
      </c>
      <c r="D2" s="2" t="s">
        <v>2</v>
      </c>
    </row>
    <row r="3" ht="40.5" customHeight="1">
      <c r="B3" s="3" t="s">
        <v>3</v>
      </c>
      <c r="C3" s="3" t="s">
        <v>4</v>
      </c>
      <c r="D3" s="4" t="s">
        <v>5</v>
      </c>
    </row>
    <row r="4">
      <c r="B4" s="5" t="s">
        <v>6</v>
      </c>
      <c r="C4" s="5" t="s">
        <v>7</v>
      </c>
      <c r="D4" s="6">
        <v>45698.0</v>
      </c>
    </row>
    <row r="5">
      <c r="B5" s="5" t="s">
        <v>8</v>
      </c>
      <c r="C5" s="5" t="s">
        <v>9</v>
      </c>
      <c r="D5" s="6">
        <v>45698.0</v>
      </c>
    </row>
    <row r="6">
      <c r="B6" s="5" t="s">
        <v>10</v>
      </c>
      <c r="C6" s="5" t="s">
        <v>9</v>
      </c>
      <c r="D6" s="6">
        <v>45698.0</v>
      </c>
    </row>
    <row r="7">
      <c r="B7" s="5" t="s">
        <v>11</v>
      </c>
      <c r="C7" s="5" t="s">
        <v>12</v>
      </c>
      <c r="D7" s="6">
        <v>46064.0</v>
      </c>
    </row>
    <row r="8">
      <c r="B8" s="5" t="s">
        <v>13</v>
      </c>
      <c r="C8" s="7" t="s">
        <v>14</v>
      </c>
      <c r="D8" s="8" t="s">
        <v>15</v>
      </c>
    </row>
    <row r="9">
      <c r="B9" s="9" t="s">
        <v>16</v>
      </c>
      <c r="C9" s="9"/>
      <c r="D9" s="10"/>
    </row>
    <row r="10">
      <c r="B10" s="9" t="s">
        <v>17</v>
      </c>
      <c r="C10" s="9"/>
      <c r="D10" s="10"/>
    </row>
    <row r="11">
      <c r="B11" s="9" t="s">
        <v>18</v>
      </c>
      <c r="C11" s="9"/>
      <c r="D11" s="10"/>
    </row>
    <row r="12">
      <c r="B12" s="11" t="s">
        <v>19</v>
      </c>
      <c r="C12" s="12" t="s">
        <v>20</v>
      </c>
      <c r="D12" s="6">
        <v>46226.0</v>
      </c>
    </row>
    <row r="13">
      <c r="B13" s="11" t="s">
        <v>21</v>
      </c>
      <c r="C13" s="11" t="s">
        <v>22</v>
      </c>
      <c r="D13" s="11"/>
    </row>
    <row r="14">
      <c r="B14" s="11" t="s">
        <v>23</v>
      </c>
      <c r="C14" s="11" t="s">
        <v>24</v>
      </c>
      <c r="D14" s="11"/>
    </row>
    <row r="15">
      <c r="B15" s="13" t="s">
        <v>25</v>
      </c>
      <c r="C15" s="13" t="s">
        <v>26</v>
      </c>
      <c r="D15" s="14">
        <v>46265.0</v>
      </c>
    </row>
    <row r="16">
      <c r="B16" s="15" t="s">
        <v>27</v>
      </c>
      <c r="C16" s="15" t="s">
        <v>28</v>
      </c>
      <c r="D16" s="14">
        <v>46275.0</v>
      </c>
    </row>
    <row r="17">
      <c r="B17" s="5" t="s">
        <v>29</v>
      </c>
      <c r="C17" s="7" t="s">
        <v>30</v>
      </c>
      <c r="D17" s="16">
        <v>46390.0</v>
      </c>
    </row>
    <row r="18">
      <c r="C18" s="17"/>
      <c r="D18" s="17"/>
    </row>
    <row r="19">
      <c r="C19" s="17"/>
      <c r="D19" s="17"/>
    </row>
    <row r="20" ht="15.75" customHeight="1">
      <c r="C20" s="17"/>
      <c r="D20" s="17"/>
    </row>
    <row r="21" ht="15.75" customHeight="1">
      <c r="C21" s="17"/>
      <c r="D21" s="17"/>
    </row>
    <row r="22" ht="15.75" customHeight="1">
      <c r="C22" s="17"/>
      <c r="D22" s="17"/>
    </row>
    <row r="23" ht="15.75" customHeight="1">
      <c r="C23" s="17"/>
      <c r="D23" s="17"/>
    </row>
    <row r="24" ht="15.75" customHeight="1">
      <c r="C24" s="17"/>
      <c r="D24" s="17"/>
    </row>
    <row r="25" ht="15.75" customHeight="1">
      <c r="C25" s="17"/>
      <c r="D25" s="17"/>
    </row>
    <row r="26" ht="15.75" customHeight="1">
      <c r="C26" s="17"/>
      <c r="D26" s="17"/>
    </row>
    <row r="27" ht="15.75" customHeight="1">
      <c r="C27" s="17"/>
      <c r="D27" s="17"/>
    </row>
    <row r="28" ht="15.75" customHeight="1">
      <c r="C28" s="17"/>
      <c r="D28" s="17"/>
    </row>
    <row r="29" ht="15.75" customHeight="1">
      <c r="C29" s="17"/>
      <c r="D29" s="17"/>
    </row>
    <row r="30" ht="15.75" customHeight="1">
      <c r="C30" s="17"/>
      <c r="D30" s="17"/>
    </row>
    <row r="31" ht="15.75" customHeight="1">
      <c r="C31" s="17"/>
      <c r="D31" s="1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3" max="3" width="21.75"/>
    <col customWidth="1" min="13" max="13" width="22.25"/>
  </cols>
  <sheetData>
    <row r="1" hidden="1">
      <c r="A1" s="18"/>
      <c r="B1" s="19"/>
      <c r="C1" s="20"/>
      <c r="D1" s="18"/>
      <c r="E1" s="18"/>
      <c r="F1" s="18"/>
      <c r="G1" s="18"/>
      <c r="H1" s="19"/>
      <c r="I1" s="19"/>
      <c r="J1" s="21"/>
      <c r="K1" s="21"/>
      <c r="L1" s="21"/>
      <c r="M1" s="21"/>
    </row>
    <row r="2" hidden="1">
      <c r="A2" s="22" t="s">
        <v>31</v>
      </c>
      <c r="J2" s="21"/>
      <c r="K2" s="21"/>
      <c r="L2" s="21"/>
      <c r="M2" s="21"/>
    </row>
    <row r="3" hidden="1">
      <c r="A3" s="18"/>
      <c r="B3" s="19"/>
      <c r="C3" s="20"/>
      <c r="D3" s="18"/>
      <c r="E3" s="18"/>
      <c r="F3" s="18"/>
      <c r="G3" s="18"/>
      <c r="H3" s="19"/>
      <c r="I3" s="19"/>
      <c r="J3" s="21"/>
      <c r="K3" s="21"/>
      <c r="L3" s="21"/>
      <c r="M3" s="21"/>
    </row>
    <row r="4" hidden="1">
      <c r="A4" s="18"/>
      <c r="B4" s="19"/>
      <c r="C4" s="20"/>
      <c r="D4" s="18"/>
      <c r="E4" s="18"/>
      <c r="F4" s="18"/>
      <c r="G4" s="18"/>
      <c r="H4" s="19"/>
      <c r="I4" s="19"/>
      <c r="J4" s="21"/>
      <c r="K4" s="21"/>
      <c r="L4" s="21"/>
      <c r="M4" s="21"/>
    </row>
    <row r="5">
      <c r="A5" s="23" t="s">
        <v>32</v>
      </c>
      <c r="B5" s="24" t="s">
        <v>33</v>
      </c>
      <c r="C5" s="25" t="s">
        <v>34</v>
      </c>
      <c r="D5" s="23" t="s">
        <v>35</v>
      </c>
      <c r="E5" s="23" t="s">
        <v>36</v>
      </c>
      <c r="F5" s="23" t="s">
        <v>37</v>
      </c>
      <c r="G5" s="23" t="s">
        <v>38</v>
      </c>
      <c r="H5" s="24" t="s">
        <v>39</v>
      </c>
      <c r="I5" s="24" t="s">
        <v>40</v>
      </c>
      <c r="J5" s="26" t="s">
        <v>41</v>
      </c>
      <c r="K5" s="27" t="s">
        <v>42</v>
      </c>
      <c r="L5" s="27" t="s">
        <v>43</v>
      </c>
      <c r="M5" s="27" t="s">
        <v>44</v>
      </c>
    </row>
    <row r="6">
      <c r="A6" s="28" t="s">
        <v>45</v>
      </c>
      <c r="B6" s="29" t="s">
        <v>46</v>
      </c>
      <c r="C6" s="30" t="s">
        <v>47</v>
      </c>
      <c r="D6" s="31">
        <f t="shared" ref="D6:D65" si="1">G6+((5*I6*(I6-1))/2)</f>
        <v>25</v>
      </c>
      <c r="E6" s="32">
        <f t="shared" ref="E6:E65" si="2">G6+((5*I6*(I6+1))/2)</f>
        <v>40</v>
      </c>
      <c r="F6" s="33">
        <f t="shared" ref="F6:F65" si="3">G6+((5*(I6+1)*(I6+2))/2)</f>
        <v>60</v>
      </c>
      <c r="G6" s="34">
        <v>10.0</v>
      </c>
      <c r="H6" s="28">
        <v>2024.0</v>
      </c>
      <c r="I6" s="35">
        <f t="shared" ref="I6:I306" si="4">(2026-H6)+1</f>
        <v>3</v>
      </c>
      <c r="J6" s="36" t="s">
        <v>48</v>
      </c>
      <c r="K6" s="37"/>
      <c r="L6" s="37"/>
      <c r="M6" s="38"/>
    </row>
    <row r="7">
      <c r="A7" s="28" t="s">
        <v>45</v>
      </c>
      <c r="B7" s="29" t="s">
        <v>46</v>
      </c>
      <c r="C7" s="30" t="s">
        <v>49</v>
      </c>
      <c r="D7" s="31">
        <f t="shared" si="1"/>
        <v>19</v>
      </c>
      <c r="E7" s="32">
        <f t="shared" si="2"/>
        <v>34</v>
      </c>
      <c r="F7" s="33">
        <f t="shared" si="3"/>
        <v>54</v>
      </c>
      <c r="G7" s="34">
        <v>4.0</v>
      </c>
      <c r="H7" s="28">
        <v>2024.0</v>
      </c>
      <c r="I7" s="35">
        <f t="shared" si="4"/>
        <v>3</v>
      </c>
      <c r="J7" s="36" t="s">
        <v>48</v>
      </c>
      <c r="K7" s="37"/>
      <c r="L7" s="37"/>
      <c r="M7" s="38"/>
    </row>
    <row r="8">
      <c r="A8" s="28" t="s">
        <v>45</v>
      </c>
      <c r="B8" s="29" t="s">
        <v>46</v>
      </c>
      <c r="C8" s="30" t="s">
        <v>50</v>
      </c>
      <c r="D8" s="31">
        <f t="shared" si="1"/>
        <v>16</v>
      </c>
      <c r="E8" s="32">
        <f t="shared" si="2"/>
        <v>31</v>
      </c>
      <c r="F8" s="33">
        <f t="shared" si="3"/>
        <v>51</v>
      </c>
      <c r="G8" s="34">
        <v>1.0</v>
      </c>
      <c r="H8" s="28">
        <v>2024.0</v>
      </c>
      <c r="I8" s="35">
        <f t="shared" si="4"/>
        <v>3</v>
      </c>
      <c r="J8" s="39" t="s">
        <v>19</v>
      </c>
      <c r="K8" s="40">
        <v>2.0</v>
      </c>
      <c r="L8" s="40">
        <v>2024.0</v>
      </c>
      <c r="M8" s="41"/>
    </row>
    <row r="9">
      <c r="A9" s="42" t="s">
        <v>45</v>
      </c>
      <c r="B9" s="42" t="s">
        <v>51</v>
      </c>
      <c r="C9" s="30" t="s">
        <v>52</v>
      </c>
      <c r="D9" s="31">
        <f t="shared" si="1"/>
        <v>16</v>
      </c>
      <c r="E9" s="32">
        <f t="shared" si="2"/>
        <v>31</v>
      </c>
      <c r="F9" s="33">
        <f t="shared" si="3"/>
        <v>51</v>
      </c>
      <c r="G9" s="43">
        <v>1.0</v>
      </c>
      <c r="H9" s="44">
        <v>2024.0</v>
      </c>
      <c r="I9" s="35">
        <f t="shared" si="4"/>
        <v>3</v>
      </c>
      <c r="J9" s="45" t="s">
        <v>48</v>
      </c>
      <c r="K9" s="40">
        <v>1.0</v>
      </c>
      <c r="L9" s="40">
        <v>2025.0</v>
      </c>
      <c r="M9" s="41" t="s">
        <v>53</v>
      </c>
    </row>
    <row r="10">
      <c r="A10" s="28" t="s">
        <v>45</v>
      </c>
      <c r="B10" s="42" t="s">
        <v>46</v>
      </c>
      <c r="C10" s="30" t="s">
        <v>54</v>
      </c>
      <c r="D10" s="31">
        <f t="shared" si="1"/>
        <v>9</v>
      </c>
      <c r="E10" s="32">
        <f t="shared" si="2"/>
        <v>19</v>
      </c>
      <c r="F10" s="33">
        <f t="shared" si="3"/>
        <v>34</v>
      </c>
      <c r="G10" s="43">
        <v>4.0</v>
      </c>
      <c r="H10" s="28">
        <v>2025.0</v>
      </c>
      <c r="I10" s="35">
        <f t="shared" si="4"/>
        <v>2</v>
      </c>
      <c r="J10" s="45" t="s">
        <v>48</v>
      </c>
      <c r="K10" s="40"/>
      <c r="L10" s="40"/>
      <c r="M10" s="41"/>
    </row>
    <row r="11">
      <c r="A11" s="29" t="s">
        <v>45</v>
      </c>
      <c r="B11" s="46" t="s">
        <v>55</v>
      </c>
      <c r="C11" s="30" t="s">
        <v>56</v>
      </c>
      <c r="D11" s="31">
        <f t="shared" si="1"/>
        <v>7</v>
      </c>
      <c r="E11" s="32">
        <f t="shared" si="2"/>
        <v>17</v>
      </c>
      <c r="F11" s="33">
        <f t="shared" si="3"/>
        <v>32</v>
      </c>
      <c r="G11" s="47">
        <v>2.0</v>
      </c>
      <c r="H11" s="42">
        <v>2025.0</v>
      </c>
      <c r="I11" s="35">
        <f t="shared" si="4"/>
        <v>2</v>
      </c>
      <c r="J11" s="46" t="s">
        <v>57</v>
      </c>
      <c r="K11" s="48">
        <v>1.0</v>
      </c>
      <c r="L11" s="48">
        <v>2025.0</v>
      </c>
      <c r="M11" s="49" t="s">
        <v>58</v>
      </c>
    </row>
    <row r="12">
      <c r="A12" s="28" t="s">
        <v>45</v>
      </c>
      <c r="B12" s="28" t="s">
        <v>46</v>
      </c>
      <c r="C12" s="30" t="s">
        <v>59</v>
      </c>
      <c r="D12" s="31">
        <f t="shared" si="1"/>
        <v>7</v>
      </c>
      <c r="E12" s="32">
        <f t="shared" si="2"/>
        <v>17</v>
      </c>
      <c r="F12" s="33">
        <f t="shared" si="3"/>
        <v>32</v>
      </c>
      <c r="G12" s="34">
        <v>2.0</v>
      </c>
      <c r="H12" s="28">
        <v>2025.0</v>
      </c>
      <c r="I12" s="35">
        <f t="shared" si="4"/>
        <v>2</v>
      </c>
      <c r="J12" s="45" t="s">
        <v>48</v>
      </c>
      <c r="K12" s="40"/>
      <c r="L12" s="40"/>
      <c r="M12" s="41"/>
    </row>
    <row r="13">
      <c r="A13" s="28" t="s">
        <v>45</v>
      </c>
      <c r="B13" s="50" t="s">
        <v>60</v>
      </c>
      <c r="C13" s="30" t="s">
        <v>61</v>
      </c>
      <c r="D13" s="31">
        <f t="shared" si="1"/>
        <v>7</v>
      </c>
      <c r="E13" s="32">
        <f t="shared" si="2"/>
        <v>17</v>
      </c>
      <c r="F13" s="33">
        <f t="shared" si="3"/>
        <v>32</v>
      </c>
      <c r="G13" s="34">
        <v>2.0</v>
      </c>
      <c r="H13" s="28">
        <v>2025.0</v>
      </c>
      <c r="I13" s="35">
        <f t="shared" si="4"/>
        <v>2</v>
      </c>
      <c r="J13" s="45" t="s">
        <v>48</v>
      </c>
      <c r="K13" s="40"/>
      <c r="L13" s="40"/>
      <c r="M13" s="41"/>
    </row>
    <row r="14">
      <c r="A14" s="28" t="s">
        <v>45</v>
      </c>
      <c r="B14" s="50" t="s">
        <v>55</v>
      </c>
      <c r="C14" s="30" t="s">
        <v>62</v>
      </c>
      <c r="D14" s="31">
        <f t="shared" si="1"/>
        <v>7</v>
      </c>
      <c r="E14" s="32">
        <f t="shared" si="2"/>
        <v>17</v>
      </c>
      <c r="F14" s="33">
        <f t="shared" si="3"/>
        <v>32</v>
      </c>
      <c r="G14" s="34">
        <v>2.0</v>
      </c>
      <c r="H14" s="28">
        <v>2025.0</v>
      </c>
      <c r="I14" s="35">
        <f t="shared" si="4"/>
        <v>2</v>
      </c>
      <c r="J14" s="45" t="s">
        <v>48</v>
      </c>
      <c r="K14" s="40"/>
      <c r="L14" s="40"/>
      <c r="M14" s="41"/>
    </row>
    <row r="15">
      <c r="A15" s="46" t="s">
        <v>45</v>
      </c>
      <c r="B15" s="46" t="s">
        <v>51</v>
      </c>
      <c r="C15" s="30" t="s">
        <v>63</v>
      </c>
      <c r="D15" s="31">
        <f t="shared" si="1"/>
        <v>7</v>
      </c>
      <c r="E15" s="32">
        <f t="shared" si="2"/>
        <v>17</v>
      </c>
      <c r="F15" s="33">
        <f t="shared" si="3"/>
        <v>32</v>
      </c>
      <c r="G15" s="43">
        <v>2.0</v>
      </c>
      <c r="H15" s="28">
        <v>2025.0</v>
      </c>
      <c r="I15" s="35">
        <f t="shared" si="4"/>
        <v>2</v>
      </c>
      <c r="J15" s="51" t="s">
        <v>64</v>
      </c>
      <c r="K15" s="52"/>
      <c r="L15" s="52"/>
      <c r="M15" s="52"/>
    </row>
    <row r="16">
      <c r="A16" s="28" t="s">
        <v>45</v>
      </c>
      <c r="B16" s="46" t="s">
        <v>51</v>
      </c>
      <c r="C16" s="30" t="s">
        <v>65</v>
      </c>
      <c r="D16" s="31">
        <f t="shared" si="1"/>
        <v>7</v>
      </c>
      <c r="E16" s="32">
        <f t="shared" si="2"/>
        <v>17</v>
      </c>
      <c r="F16" s="33">
        <f t="shared" si="3"/>
        <v>32</v>
      </c>
      <c r="G16" s="47">
        <v>2.0</v>
      </c>
      <c r="H16" s="42">
        <v>2025.0</v>
      </c>
      <c r="I16" s="35">
        <f t="shared" si="4"/>
        <v>2</v>
      </c>
      <c r="J16" s="46" t="s">
        <v>57</v>
      </c>
      <c r="K16" s="40">
        <v>1.0</v>
      </c>
      <c r="L16" s="40">
        <v>2025.0</v>
      </c>
      <c r="M16" s="41"/>
    </row>
    <row r="17">
      <c r="A17" s="28" t="s">
        <v>45</v>
      </c>
      <c r="B17" s="44" t="s">
        <v>60</v>
      </c>
      <c r="C17" s="30" t="s">
        <v>66</v>
      </c>
      <c r="D17" s="31">
        <f t="shared" si="1"/>
        <v>6</v>
      </c>
      <c r="E17" s="32">
        <f t="shared" si="2"/>
        <v>16</v>
      </c>
      <c r="F17" s="33">
        <f t="shared" si="3"/>
        <v>31</v>
      </c>
      <c r="G17" s="43">
        <v>1.0</v>
      </c>
      <c r="H17" s="28">
        <v>2025.0</v>
      </c>
      <c r="I17" s="35">
        <f t="shared" si="4"/>
        <v>2</v>
      </c>
      <c r="J17" s="45" t="s">
        <v>48</v>
      </c>
      <c r="K17" s="40"/>
      <c r="L17" s="40"/>
      <c r="M17" s="41"/>
    </row>
    <row r="18">
      <c r="A18" s="28" t="s">
        <v>45</v>
      </c>
      <c r="B18" s="35" t="s">
        <v>51</v>
      </c>
      <c r="C18" s="30" t="s">
        <v>67</v>
      </c>
      <c r="D18" s="31">
        <f t="shared" si="1"/>
        <v>6</v>
      </c>
      <c r="E18" s="32">
        <f t="shared" si="2"/>
        <v>16</v>
      </c>
      <c r="F18" s="33">
        <f t="shared" si="3"/>
        <v>31</v>
      </c>
      <c r="G18" s="43">
        <v>1.0</v>
      </c>
      <c r="H18" s="28">
        <v>2025.0</v>
      </c>
      <c r="I18" s="35">
        <f t="shared" si="4"/>
        <v>2</v>
      </c>
      <c r="J18" s="45" t="s">
        <v>48</v>
      </c>
      <c r="K18" s="53"/>
      <c r="L18" s="53"/>
      <c r="M18" s="54"/>
    </row>
    <row r="19">
      <c r="A19" s="28" t="s">
        <v>45</v>
      </c>
      <c r="B19" s="46" t="s">
        <v>55</v>
      </c>
      <c r="C19" s="30" t="s">
        <v>68</v>
      </c>
      <c r="D19" s="31">
        <f t="shared" si="1"/>
        <v>6</v>
      </c>
      <c r="E19" s="32">
        <f t="shared" si="2"/>
        <v>16</v>
      </c>
      <c r="F19" s="33">
        <f t="shared" si="3"/>
        <v>31</v>
      </c>
      <c r="G19" s="47">
        <v>1.0</v>
      </c>
      <c r="H19" s="42">
        <v>2025.0</v>
      </c>
      <c r="I19" s="35">
        <f t="shared" si="4"/>
        <v>2</v>
      </c>
      <c r="J19" s="46" t="s">
        <v>57</v>
      </c>
      <c r="K19" s="40">
        <v>2.0</v>
      </c>
      <c r="L19" s="40">
        <v>2025.0</v>
      </c>
      <c r="M19" s="41"/>
    </row>
    <row r="20">
      <c r="A20" s="28" t="s">
        <v>45</v>
      </c>
      <c r="B20" s="46" t="s">
        <v>46</v>
      </c>
      <c r="C20" s="30" t="s">
        <v>69</v>
      </c>
      <c r="D20" s="31">
        <f t="shared" si="1"/>
        <v>6</v>
      </c>
      <c r="E20" s="32">
        <f t="shared" si="2"/>
        <v>16</v>
      </c>
      <c r="F20" s="33">
        <f t="shared" si="3"/>
        <v>31</v>
      </c>
      <c r="G20" s="47">
        <v>1.0</v>
      </c>
      <c r="H20" s="42">
        <v>2025.0</v>
      </c>
      <c r="I20" s="35">
        <f t="shared" si="4"/>
        <v>2</v>
      </c>
      <c r="J20" s="46" t="s">
        <v>57</v>
      </c>
      <c r="K20" s="40">
        <v>2.0</v>
      </c>
      <c r="L20" s="40">
        <v>2025.0</v>
      </c>
      <c r="M20" s="41"/>
    </row>
    <row r="21">
      <c r="A21" s="28" t="s">
        <v>45</v>
      </c>
      <c r="B21" s="46" t="s">
        <v>46</v>
      </c>
      <c r="C21" s="30" t="s">
        <v>70</v>
      </c>
      <c r="D21" s="31">
        <f t="shared" si="1"/>
        <v>6</v>
      </c>
      <c r="E21" s="32">
        <f t="shared" si="2"/>
        <v>16</v>
      </c>
      <c r="F21" s="33">
        <f t="shared" si="3"/>
        <v>31</v>
      </c>
      <c r="G21" s="47">
        <v>1.0</v>
      </c>
      <c r="H21" s="42">
        <v>2025.0</v>
      </c>
      <c r="I21" s="35">
        <f t="shared" si="4"/>
        <v>2</v>
      </c>
      <c r="J21" s="46" t="s">
        <v>57</v>
      </c>
      <c r="K21" s="40">
        <v>2.0</v>
      </c>
      <c r="L21" s="40">
        <v>2025.0</v>
      </c>
      <c r="M21" s="41" t="s">
        <v>71</v>
      </c>
    </row>
    <row r="22">
      <c r="A22" s="29" t="s">
        <v>45</v>
      </c>
      <c r="B22" s="46" t="s">
        <v>57</v>
      </c>
      <c r="C22" s="30" t="s">
        <v>72</v>
      </c>
      <c r="D22" s="31">
        <f t="shared" si="1"/>
        <v>2</v>
      </c>
      <c r="E22" s="32">
        <f t="shared" si="2"/>
        <v>7</v>
      </c>
      <c r="F22" s="33">
        <f t="shared" si="3"/>
        <v>17</v>
      </c>
      <c r="G22" s="47">
        <v>2.0</v>
      </c>
      <c r="H22" s="42">
        <v>2026.0</v>
      </c>
      <c r="I22" s="35">
        <f t="shared" si="4"/>
        <v>1</v>
      </c>
      <c r="J22" s="46" t="s">
        <v>57</v>
      </c>
      <c r="K22" s="48">
        <v>1.0</v>
      </c>
      <c r="L22" s="48">
        <v>2026.0</v>
      </c>
      <c r="M22" s="49" t="s">
        <v>73</v>
      </c>
    </row>
    <row r="23">
      <c r="A23" s="55" t="s">
        <v>45</v>
      </c>
      <c r="B23" s="56" t="s">
        <v>57</v>
      </c>
      <c r="C23" s="30" t="s">
        <v>74</v>
      </c>
      <c r="D23" s="31">
        <f t="shared" si="1"/>
        <v>1</v>
      </c>
      <c r="E23" s="32">
        <f t="shared" si="2"/>
        <v>6</v>
      </c>
      <c r="F23" s="33">
        <f t="shared" si="3"/>
        <v>16</v>
      </c>
      <c r="G23" s="57">
        <v>1.0</v>
      </c>
      <c r="H23" s="46">
        <v>2026.0</v>
      </c>
      <c r="I23" s="35">
        <f t="shared" si="4"/>
        <v>1</v>
      </c>
      <c r="J23" s="46" t="s">
        <v>57</v>
      </c>
      <c r="K23" s="48">
        <v>2.0</v>
      </c>
      <c r="L23" s="48">
        <v>2026.0</v>
      </c>
      <c r="M23" s="49" t="s">
        <v>75</v>
      </c>
    </row>
    <row r="24">
      <c r="A24" s="28" t="s">
        <v>45</v>
      </c>
      <c r="B24" s="28" t="s">
        <v>51</v>
      </c>
      <c r="C24" s="58" t="s">
        <v>76</v>
      </c>
      <c r="D24" s="31">
        <f t="shared" si="1"/>
        <v>16</v>
      </c>
      <c r="E24" s="32">
        <f t="shared" si="2"/>
        <v>31</v>
      </c>
      <c r="F24" s="33">
        <f t="shared" si="3"/>
        <v>51</v>
      </c>
      <c r="G24" s="34">
        <v>1.0</v>
      </c>
      <c r="H24" s="28">
        <v>2024.0</v>
      </c>
      <c r="I24" s="35">
        <f t="shared" si="4"/>
        <v>3</v>
      </c>
      <c r="J24" s="39" t="s">
        <v>19</v>
      </c>
      <c r="K24" s="40">
        <v>2.0</v>
      </c>
      <c r="L24" s="40">
        <v>2024.0</v>
      </c>
      <c r="M24" s="41"/>
    </row>
    <row r="25">
      <c r="A25" s="42" t="s">
        <v>45</v>
      </c>
      <c r="B25" s="42" t="s">
        <v>46</v>
      </c>
      <c r="C25" s="58" t="s">
        <v>77</v>
      </c>
      <c r="D25" s="31">
        <f t="shared" si="1"/>
        <v>7</v>
      </c>
      <c r="E25" s="32">
        <f t="shared" si="2"/>
        <v>17</v>
      </c>
      <c r="F25" s="33">
        <f t="shared" si="3"/>
        <v>32</v>
      </c>
      <c r="G25" s="43">
        <v>2.0</v>
      </c>
      <c r="H25" s="42">
        <v>2025.0</v>
      </c>
      <c r="I25" s="35">
        <f t="shared" si="4"/>
        <v>2</v>
      </c>
      <c r="J25" s="39" t="s">
        <v>64</v>
      </c>
      <c r="K25" s="40"/>
      <c r="L25" s="40"/>
      <c r="M25" s="41"/>
    </row>
    <row r="26">
      <c r="A26" s="42" t="s">
        <v>45</v>
      </c>
      <c r="B26" s="29" t="s">
        <v>46</v>
      </c>
      <c r="C26" s="59" t="s">
        <v>78</v>
      </c>
      <c r="D26" s="31">
        <f t="shared" si="1"/>
        <v>32</v>
      </c>
      <c r="E26" s="32">
        <f t="shared" si="2"/>
        <v>52</v>
      </c>
      <c r="F26" s="33">
        <f t="shared" si="3"/>
        <v>77</v>
      </c>
      <c r="G26" s="60">
        <v>2.0</v>
      </c>
      <c r="H26" s="29">
        <v>2023.0</v>
      </c>
      <c r="I26" s="35">
        <f t="shared" si="4"/>
        <v>4</v>
      </c>
      <c r="J26" s="36" t="s">
        <v>48</v>
      </c>
      <c r="K26" s="61"/>
      <c r="L26" s="61"/>
      <c r="M26" s="62"/>
    </row>
    <row r="27">
      <c r="A27" s="28" t="s">
        <v>79</v>
      </c>
      <c r="B27" s="50" t="s">
        <v>46</v>
      </c>
      <c r="C27" s="59" t="s">
        <v>80</v>
      </c>
      <c r="D27" s="31">
        <f t="shared" si="1"/>
        <v>77</v>
      </c>
      <c r="E27" s="32">
        <f t="shared" si="2"/>
        <v>107</v>
      </c>
      <c r="F27" s="33">
        <f t="shared" si="3"/>
        <v>142</v>
      </c>
      <c r="G27" s="60">
        <v>2.0</v>
      </c>
      <c r="H27" s="29">
        <v>2021.0</v>
      </c>
      <c r="I27" s="35">
        <f t="shared" si="4"/>
        <v>6</v>
      </c>
      <c r="J27" s="36" t="s">
        <v>48</v>
      </c>
      <c r="K27" s="63"/>
      <c r="L27" s="63"/>
      <c r="M27" s="64"/>
    </row>
    <row r="28">
      <c r="A28" s="28" t="s">
        <v>79</v>
      </c>
      <c r="B28" s="29" t="s">
        <v>46</v>
      </c>
      <c r="C28" s="59" t="s">
        <v>81</v>
      </c>
      <c r="D28" s="31">
        <f t="shared" si="1"/>
        <v>61</v>
      </c>
      <c r="E28" s="32">
        <f t="shared" si="2"/>
        <v>71</v>
      </c>
      <c r="F28" s="33">
        <f t="shared" si="3"/>
        <v>86</v>
      </c>
      <c r="G28" s="34">
        <v>56.0</v>
      </c>
      <c r="H28" s="42">
        <v>2025.0</v>
      </c>
      <c r="I28" s="35">
        <f t="shared" si="4"/>
        <v>2</v>
      </c>
      <c r="J28" s="36" t="s">
        <v>48</v>
      </c>
      <c r="K28" s="61"/>
      <c r="L28" s="61"/>
      <c r="M28" s="62"/>
    </row>
    <row r="29">
      <c r="A29" s="28" t="s">
        <v>79</v>
      </c>
      <c r="B29" s="29" t="s">
        <v>51</v>
      </c>
      <c r="C29" s="59" t="s">
        <v>82</v>
      </c>
      <c r="D29" s="31">
        <f t="shared" si="1"/>
        <v>52</v>
      </c>
      <c r="E29" s="32">
        <f t="shared" si="2"/>
        <v>77</v>
      </c>
      <c r="F29" s="33">
        <f t="shared" si="3"/>
        <v>107</v>
      </c>
      <c r="G29" s="60">
        <v>2.0</v>
      </c>
      <c r="H29" s="29">
        <v>2022.0</v>
      </c>
      <c r="I29" s="35">
        <f t="shared" si="4"/>
        <v>5</v>
      </c>
      <c r="J29" s="36" t="s">
        <v>48</v>
      </c>
      <c r="K29" s="63"/>
      <c r="L29" s="63"/>
      <c r="M29" s="64"/>
    </row>
    <row r="30">
      <c r="A30" s="28" t="s">
        <v>79</v>
      </c>
      <c r="B30" s="29" t="s">
        <v>55</v>
      </c>
      <c r="C30" s="59" t="s">
        <v>83</v>
      </c>
      <c r="D30" s="31">
        <f t="shared" si="1"/>
        <v>45</v>
      </c>
      <c r="E30" s="32">
        <f t="shared" si="2"/>
        <v>55</v>
      </c>
      <c r="F30" s="33">
        <f t="shared" si="3"/>
        <v>70</v>
      </c>
      <c r="G30" s="34">
        <v>40.0</v>
      </c>
      <c r="H30" s="28">
        <v>2025.0</v>
      </c>
      <c r="I30" s="35">
        <f t="shared" si="4"/>
        <v>2</v>
      </c>
      <c r="J30" s="39" t="s">
        <v>48</v>
      </c>
      <c r="K30" s="61"/>
      <c r="L30" s="61"/>
      <c r="M30" s="62"/>
    </row>
    <row r="31">
      <c r="A31" s="35" t="s">
        <v>79</v>
      </c>
      <c r="B31" s="44" t="s">
        <v>51</v>
      </c>
      <c r="C31" s="59" t="s">
        <v>84</v>
      </c>
      <c r="D31" s="31">
        <f t="shared" si="1"/>
        <v>32</v>
      </c>
      <c r="E31" s="32">
        <f t="shared" si="2"/>
        <v>52</v>
      </c>
      <c r="F31" s="33">
        <f t="shared" si="3"/>
        <v>77</v>
      </c>
      <c r="G31" s="65">
        <v>2.0</v>
      </c>
      <c r="H31" s="44">
        <v>2023.0</v>
      </c>
      <c r="I31" s="35">
        <f t="shared" si="4"/>
        <v>4</v>
      </c>
      <c r="J31" s="45" t="s">
        <v>48</v>
      </c>
      <c r="K31" s="48"/>
      <c r="L31" s="48"/>
      <c r="M31" s="49"/>
    </row>
    <row r="32">
      <c r="A32" s="35" t="s">
        <v>79</v>
      </c>
      <c r="B32" s="66" t="s">
        <v>46</v>
      </c>
      <c r="C32" s="59" t="s">
        <v>85</v>
      </c>
      <c r="D32" s="31">
        <f t="shared" si="1"/>
        <v>17</v>
      </c>
      <c r="E32" s="32">
        <f t="shared" si="2"/>
        <v>32</v>
      </c>
      <c r="F32" s="33">
        <f t="shared" si="3"/>
        <v>52</v>
      </c>
      <c r="G32" s="43">
        <v>2.0</v>
      </c>
      <c r="H32" s="44">
        <v>2024.0</v>
      </c>
      <c r="I32" s="35">
        <f t="shared" si="4"/>
        <v>3</v>
      </c>
      <c r="J32" s="51" t="s">
        <v>64</v>
      </c>
      <c r="K32" s="48"/>
      <c r="L32" s="48"/>
      <c r="M32" s="49"/>
    </row>
    <row r="33">
      <c r="A33" s="29" t="s">
        <v>79</v>
      </c>
      <c r="B33" s="29" t="s">
        <v>55</v>
      </c>
      <c r="C33" s="59" t="s">
        <v>86</v>
      </c>
      <c r="D33" s="31">
        <f t="shared" si="1"/>
        <v>17</v>
      </c>
      <c r="E33" s="32">
        <f t="shared" si="2"/>
        <v>32</v>
      </c>
      <c r="F33" s="33">
        <f t="shared" si="3"/>
        <v>52</v>
      </c>
      <c r="G33" s="34">
        <v>2.0</v>
      </c>
      <c r="H33" s="28">
        <v>2024.0</v>
      </c>
      <c r="I33" s="35">
        <f t="shared" si="4"/>
        <v>3</v>
      </c>
      <c r="J33" s="39" t="s">
        <v>19</v>
      </c>
      <c r="K33" s="48">
        <v>1.0</v>
      </c>
      <c r="L33" s="48">
        <v>2024.0</v>
      </c>
      <c r="M33" s="49"/>
    </row>
    <row r="34">
      <c r="A34" s="28" t="s">
        <v>79</v>
      </c>
      <c r="B34" s="29" t="s">
        <v>60</v>
      </c>
      <c r="C34" s="59" t="s">
        <v>87</v>
      </c>
      <c r="D34" s="31">
        <f t="shared" si="1"/>
        <v>16</v>
      </c>
      <c r="E34" s="32">
        <f t="shared" si="2"/>
        <v>26</v>
      </c>
      <c r="F34" s="33">
        <f t="shared" si="3"/>
        <v>41</v>
      </c>
      <c r="G34" s="34">
        <v>11.0</v>
      </c>
      <c r="H34" s="28">
        <v>2025.0</v>
      </c>
      <c r="I34" s="35">
        <f t="shared" si="4"/>
        <v>2</v>
      </c>
      <c r="J34" s="39" t="s">
        <v>48</v>
      </c>
      <c r="K34" s="48"/>
      <c r="L34" s="48"/>
      <c r="M34" s="49"/>
    </row>
    <row r="35">
      <c r="A35" s="42" t="s">
        <v>79</v>
      </c>
      <c r="B35" s="42" t="s">
        <v>51</v>
      </c>
      <c r="C35" s="59" t="s">
        <v>88</v>
      </c>
      <c r="D35" s="31">
        <f t="shared" si="1"/>
        <v>16</v>
      </c>
      <c r="E35" s="32">
        <f t="shared" si="2"/>
        <v>26</v>
      </c>
      <c r="F35" s="33">
        <f t="shared" si="3"/>
        <v>41</v>
      </c>
      <c r="G35" s="43">
        <v>11.0</v>
      </c>
      <c r="H35" s="42">
        <v>2025.0</v>
      </c>
      <c r="I35" s="35">
        <f t="shared" si="4"/>
        <v>2</v>
      </c>
      <c r="J35" s="51" t="s">
        <v>48</v>
      </c>
      <c r="K35" s="63"/>
      <c r="L35" s="63"/>
      <c r="M35" s="64"/>
    </row>
    <row r="36">
      <c r="A36" s="28" t="s">
        <v>79</v>
      </c>
      <c r="B36" s="29" t="s">
        <v>46</v>
      </c>
      <c r="C36" s="59" t="s">
        <v>89</v>
      </c>
      <c r="D36" s="31">
        <f t="shared" si="1"/>
        <v>15</v>
      </c>
      <c r="E36" s="32">
        <f t="shared" si="2"/>
        <v>25</v>
      </c>
      <c r="F36" s="33">
        <f t="shared" si="3"/>
        <v>40</v>
      </c>
      <c r="G36" s="34">
        <v>10.0</v>
      </c>
      <c r="H36" s="28">
        <v>2025.0</v>
      </c>
      <c r="I36" s="35">
        <f t="shared" si="4"/>
        <v>2</v>
      </c>
      <c r="J36" s="36" t="s">
        <v>48</v>
      </c>
      <c r="K36" s="61"/>
      <c r="L36" s="61"/>
      <c r="M36" s="62"/>
    </row>
    <row r="37">
      <c r="A37" s="42" t="s">
        <v>79</v>
      </c>
      <c r="B37" s="35" t="s">
        <v>51</v>
      </c>
      <c r="C37" s="59" t="s">
        <v>90</v>
      </c>
      <c r="D37" s="31">
        <f t="shared" si="1"/>
        <v>12</v>
      </c>
      <c r="E37" s="32">
        <f t="shared" si="2"/>
        <v>22</v>
      </c>
      <c r="F37" s="33">
        <f t="shared" si="3"/>
        <v>37</v>
      </c>
      <c r="G37" s="43">
        <v>7.0</v>
      </c>
      <c r="H37" s="42">
        <v>2025.0</v>
      </c>
      <c r="I37" s="35">
        <f t="shared" si="4"/>
        <v>2</v>
      </c>
      <c r="J37" s="51" t="s">
        <v>48</v>
      </c>
      <c r="K37" s="63"/>
      <c r="L37" s="63"/>
      <c r="M37" s="64"/>
    </row>
    <row r="38">
      <c r="A38" s="42" t="s">
        <v>79</v>
      </c>
      <c r="B38" s="42" t="s">
        <v>60</v>
      </c>
      <c r="C38" s="59" t="s">
        <v>91</v>
      </c>
      <c r="D38" s="31">
        <f t="shared" si="1"/>
        <v>11</v>
      </c>
      <c r="E38" s="32">
        <f t="shared" si="2"/>
        <v>21</v>
      </c>
      <c r="F38" s="33">
        <f t="shared" si="3"/>
        <v>36</v>
      </c>
      <c r="G38" s="43">
        <v>6.0</v>
      </c>
      <c r="H38" s="42">
        <v>2025.0</v>
      </c>
      <c r="I38" s="35">
        <f t="shared" si="4"/>
        <v>2</v>
      </c>
      <c r="J38" s="46" t="s">
        <v>48</v>
      </c>
      <c r="K38" s="61"/>
      <c r="L38" s="61"/>
      <c r="M38" s="62"/>
    </row>
    <row r="39">
      <c r="A39" s="28" t="s">
        <v>79</v>
      </c>
      <c r="B39" s="46" t="s">
        <v>46</v>
      </c>
      <c r="C39" s="59" t="s">
        <v>92</v>
      </c>
      <c r="D39" s="31">
        <f t="shared" si="1"/>
        <v>10</v>
      </c>
      <c r="E39" s="32">
        <f t="shared" si="2"/>
        <v>20</v>
      </c>
      <c r="F39" s="33">
        <f t="shared" si="3"/>
        <v>35</v>
      </c>
      <c r="G39" s="47">
        <v>5.0</v>
      </c>
      <c r="H39" s="42">
        <v>2025.0</v>
      </c>
      <c r="I39" s="35">
        <f t="shared" si="4"/>
        <v>2</v>
      </c>
      <c r="J39" s="36" t="s">
        <v>48</v>
      </c>
      <c r="K39" s="63"/>
      <c r="L39" s="63"/>
      <c r="M39" s="64"/>
    </row>
    <row r="40">
      <c r="A40" s="29" t="s">
        <v>79</v>
      </c>
      <c r="B40" s="46" t="s">
        <v>57</v>
      </c>
      <c r="C40" s="30" t="s">
        <v>72</v>
      </c>
      <c r="D40" s="31">
        <f t="shared" si="1"/>
        <v>2</v>
      </c>
      <c r="E40" s="32">
        <f t="shared" si="2"/>
        <v>7</v>
      </c>
      <c r="F40" s="33">
        <f t="shared" si="3"/>
        <v>17</v>
      </c>
      <c r="G40" s="47">
        <v>2.0</v>
      </c>
      <c r="H40" s="42">
        <v>2026.0</v>
      </c>
      <c r="I40" s="35">
        <f t="shared" si="4"/>
        <v>1</v>
      </c>
      <c r="J40" s="46" t="s">
        <v>57</v>
      </c>
      <c r="K40" s="48">
        <v>1.0</v>
      </c>
      <c r="L40" s="48">
        <v>2026.0</v>
      </c>
      <c r="M40" s="49"/>
    </row>
    <row r="41">
      <c r="A41" s="55" t="s">
        <v>79</v>
      </c>
      <c r="B41" s="56" t="s">
        <v>57</v>
      </c>
      <c r="C41" s="30" t="s">
        <v>72</v>
      </c>
      <c r="D41" s="31">
        <f t="shared" si="1"/>
        <v>2</v>
      </c>
      <c r="E41" s="32">
        <f t="shared" si="2"/>
        <v>7</v>
      </c>
      <c r="F41" s="33">
        <f t="shared" si="3"/>
        <v>17</v>
      </c>
      <c r="G41" s="57">
        <v>2.0</v>
      </c>
      <c r="H41" s="46">
        <v>2026.0</v>
      </c>
      <c r="I41" s="35">
        <f t="shared" si="4"/>
        <v>1</v>
      </c>
      <c r="J41" s="46" t="s">
        <v>57</v>
      </c>
      <c r="K41" s="48">
        <v>1.0</v>
      </c>
      <c r="L41" s="48">
        <v>2026.0</v>
      </c>
      <c r="M41" s="49" t="s">
        <v>93</v>
      </c>
    </row>
    <row r="42">
      <c r="A42" s="55" t="s">
        <v>79</v>
      </c>
      <c r="B42" s="56" t="s">
        <v>57</v>
      </c>
      <c r="C42" s="30" t="s">
        <v>74</v>
      </c>
      <c r="D42" s="31">
        <f t="shared" si="1"/>
        <v>1</v>
      </c>
      <c r="E42" s="32">
        <f t="shared" si="2"/>
        <v>6</v>
      </c>
      <c r="F42" s="33">
        <f t="shared" si="3"/>
        <v>16</v>
      </c>
      <c r="G42" s="57">
        <v>1.0</v>
      </c>
      <c r="H42" s="46">
        <v>2026.0</v>
      </c>
      <c r="I42" s="35">
        <f t="shared" si="4"/>
        <v>1</v>
      </c>
      <c r="J42" s="46" t="s">
        <v>57</v>
      </c>
      <c r="K42" s="48">
        <v>2.0</v>
      </c>
      <c r="L42" s="48">
        <v>2026.0</v>
      </c>
      <c r="M42" s="49" t="s">
        <v>94</v>
      </c>
    </row>
    <row r="43">
      <c r="A43" s="55" t="s">
        <v>79</v>
      </c>
      <c r="B43" s="56" t="s">
        <v>57</v>
      </c>
      <c r="C43" s="30" t="s">
        <v>74</v>
      </c>
      <c r="D43" s="31">
        <f t="shared" si="1"/>
        <v>1</v>
      </c>
      <c r="E43" s="32">
        <f t="shared" si="2"/>
        <v>6</v>
      </c>
      <c r="F43" s="33">
        <f t="shared" si="3"/>
        <v>16</v>
      </c>
      <c r="G43" s="57">
        <v>1.0</v>
      </c>
      <c r="H43" s="46">
        <v>2026.0</v>
      </c>
      <c r="I43" s="35">
        <f t="shared" si="4"/>
        <v>1</v>
      </c>
      <c r="J43" s="46" t="s">
        <v>57</v>
      </c>
      <c r="K43" s="48">
        <v>2.0</v>
      </c>
      <c r="L43" s="48">
        <v>2026.0</v>
      </c>
      <c r="M43" s="49"/>
    </row>
    <row r="44">
      <c r="A44" s="55" t="s">
        <v>79</v>
      </c>
      <c r="B44" s="50" t="s">
        <v>51</v>
      </c>
      <c r="C44" s="59" t="s">
        <v>95</v>
      </c>
      <c r="D44" s="31">
        <f t="shared" si="1"/>
        <v>7</v>
      </c>
      <c r="E44" s="32">
        <f t="shared" si="2"/>
        <v>17</v>
      </c>
      <c r="F44" s="33">
        <f t="shared" si="3"/>
        <v>32</v>
      </c>
      <c r="G44" s="34">
        <v>2.0</v>
      </c>
      <c r="H44" s="28">
        <v>2025.0</v>
      </c>
      <c r="I44" s="35">
        <f t="shared" si="4"/>
        <v>2</v>
      </c>
      <c r="J44" s="39" t="s">
        <v>64</v>
      </c>
      <c r="K44" s="67"/>
      <c r="L44" s="67"/>
      <c r="M44" s="68"/>
    </row>
    <row r="45">
      <c r="A45" s="28" t="s">
        <v>79</v>
      </c>
      <c r="B45" s="42" t="s">
        <v>55</v>
      </c>
      <c r="C45" s="59" t="s">
        <v>96</v>
      </c>
      <c r="D45" s="31">
        <f t="shared" si="1"/>
        <v>7</v>
      </c>
      <c r="E45" s="32">
        <f t="shared" si="2"/>
        <v>17</v>
      </c>
      <c r="F45" s="33">
        <f t="shared" si="3"/>
        <v>32</v>
      </c>
      <c r="G45" s="43">
        <v>2.0</v>
      </c>
      <c r="H45" s="42">
        <v>2025.0</v>
      </c>
      <c r="I45" s="35">
        <f t="shared" si="4"/>
        <v>2</v>
      </c>
      <c r="J45" s="39" t="s">
        <v>64</v>
      </c>
      <c r="K45" s="69"/>
      <c r="L45" s="69"/>
      <c r="M45" s="70"/>
    </row>
    <row r="46">
      <c r="A46" s="42" t="s">
        <v>79</v>
      </c>
      <c r="B46" s="42" t="s">
        <v>51</v>
      </c>
      <c r="C46" s="59" t="s">
        <v>97</v>
      </c>
      <c r="D46" s="31">
        <f t="shared" si="1"/>
        <v>7</v>
      </c>
      <c r="E46" s="32">
        <f t="shared" si="2"/>
        <v>17</v>
      </c>
      <c r="F46" s="33">
        <f t="shared" si="3"/>
        <v>32</v>
      </c>
      <c r="G46" s="34">
        <v>2.0</v>
      </c>
      <c r="H46" s="42">
        <v>2025.0</v>
      </c>
      <c r="I46" s="35">
        <f t="shared" si="4"/>
        <v>2</v>
      </c>
      <c r="J46" s="39" t="s">
        <v>64</v>
      </c>
      <c r="K46" s="61"/>
      <c r="L46" s="61"/>
      <c r="M46" s="62"/>
    </row>
    <row r="47">
      <c r="A47" s="42" t="s">
        <v>79</v>
      </c>
      <c r="B47" s="44" t="s">
        <v>51</v>
      </c>
      <c r="C47" s="59" t="s">
        <v>98</v>
      </c>
      <c r="D47" s="31">
        <f t="shared" si="1"/>
        <v>7</v>
      </c>
      <c r="E47" s="32">
        <f t="shared" si="2"/>
        <v>17</v>
      </c>
      <c r="F47" s="33">
        <f t="shared" si="3"/>
        <v>32</v>
      </c>
      <c r="G47" s="34">
        <v>2.0</v>
      </c>
      <c r="H47" s="42">
        <v>2025.0</v>
      </c>
      <c r="I47" s="35">
        <f t="shared" si="4"/>
        <v>2</v>
      </c>
      <c r="J47" s="39" t="s">
        <v>64</v>
      </c>
      <c r="K47" s="63"/>
      <c r="L47" s="63"/>
      <c r="M47" s="64"/>
    </row>
    <row r="48">
      <c r="A48" s="42" t="s">
        <v>79</v>
      </c>
      <c r="B48" s="44" t="s">
        <v>51</v>
      </c>
      <c r="C48" s="59" t="s">
        <v>99</v>
      </c>
      <c r="D48" s="31">
        <f t="shared" si="1"/>
        <v>7</v>
      </c>
      <c r="E48" s="32">
        <f t="shared" si="2"/>
        <v>17</v>
      </c>
      <c r="F48" s="33">
        <f t="shared" si="3"/>
        <v>32</v>
      </c>
      <c r="G48" s="34">
        <v>2.0</v>
      </c>
      <c r="H48" s="42">
        <v>2025.0</v>
      </c>
      <c r="I48" s="35">
        <f t="shared" si="4"/>
        <v>2</v>
      </c>
      <c r="J48" s="39" t="s">
        <v>64</v>
      </c>
      <c r="K48" s="61"/>
      <c r="L48" s="61"/>
      <c r="M48" s="62"/>
    </row>
    <row r="49">
      <c r="A49" s="42" t="s">
        <v>100</v>
      </c>
      <c r="B49" s="29" t="s">
        <v>51</v>
      </c>
      <c r="C49" s="71" t="s">
        <v>101</v>
      </c>
      <c r="D49" s="31">
        <f t="shared" si="1"/>
        <v>62</v>
      </c>
      <c r="E49" s="32">
        <f t="shared" si="2"/>
        <v>72</v>
      </c>
      <c r="F49" s="33">
        <f t="shared" si="3"/>
        <v>87</v>
      </c>
      <c r="G49" s="34">
        <v>57.0</v>
      </c>
      <c r="H49" s="42">
        <v>2025.0</v>
      </c>
      <c r="I49" s="35">
        <f t="shared" si="4"/>
        <v>2</v>
      </c>
      <c r="J49" s="36" t="s">
        <v>48</v>
      </c>
      <c r="K49" s="63"/>
      <c r="L49" s="63"/>
      <c r="M49" s="64"/>
    </row>
    <row r="50">
      <c r="A50" s="28" t="s">
        <v>100</v>
      </c>
      <c r="B50" s="29" t="s">
        <v>51</v>
      </c>
      <c r="C50" s="72" t="s">
        <v>102</v>
      </c>
      <c r="D50" s="31">
        <f t="shared" si="1"/>
        <v>52</v>
      </c>
      <c r="E50" s="32">
        <f t="shared" si="2"/>
        <v>77</v>
      </c>
      <c r="F50" s="33">
        <f t="shared" si="3"/>
        <v>107</v>
      </c>
      <c r="G50" s="60">
        <v>2.0</v>
      </c>
      <c r="H50" s="29">
        <v>2022.0</v>
      </c>
      <c r="I50" s="35">
        <f t="shared" si="4"/>
        <v>5</v>
      </c>
      <c r="J50" s="36" t="s">
        <v>48</v>
      </c>
      <c r="K50" s="61"/>
      <c r="L50" s="61"/>
      <c r="M50" s="62"/>
    </row>
    <row r="51">
      <c r="A51" s="42" t="s">
        <v>100</v>
      </c>
      <c r="B51" s="66" t="s">
        <v>55</v>
      </c>
      <c r="C51" s="71" t="s">
        <v>103</v>
      </c>
      <c r="D51" s="31">
        <f t="shared" si="1"/>
        <v>34</v>
      </c>
      <c r="E51" s="32">
        <f t="shared" si="2"/>
        <v>49</v>
      </c>
      <c r="F51" s="33">
        <f t="shared" si="3"/>
        <v>69</v>
      </c>
      <c r="G51" s="43">
        <v>19.0</v>
      </c>
      <c r="H51" s="35">
        <v>2024.0</v>
      </c>
      <c r="I51" s="35">
        <f t="shared" si="4"/>
        <v>3</v>
      </c>
      <c r="J51" s="45" t="s">
        <v>48</v>
      </c>
      <c r="K51" s="48">
        <v>1.0</v>
      </c>
      <c r="L51" s="48">
        <v>2025.0</v>
      </c>
      <c r="M51" s="49"/>
    </row>
    <row r="52">
      <c r="A52" s="35" t="s">
        <v>100</v>
      </c>
      <c r="B52" s="29" t="s">
        <v>46</v>
      </c>
      <c r="C52" s="72" t="s">
        <v>104</v>
      </c>
      <c r="D52" s="31">
        <f t="shared" si="1"/>
        <v>31</v>
      </c>
      <c r="E52" s="32">
        <f t="shared" si="2"/>
        <v>51</v>
      </c>
      <c r="F52" s="33">
        <f t="shared" si="3"/>
        <v>76</v>
      </c>
      <c r="G52" s="60">
        <v>1.0</v>
      </c>
      <c r="H52" s="29">
        <v>2023.0</v>
      </c>
      <c r="I52" s="35">
        <f t="shared" si="4"/>
        <v>4</v>
      </c>
      <c r="J52" s="36" t="s">
        <v>48</v>
      </c>
      <c r="K52" s="48"/>
      <c r="L52" s="48"/>
      <c r="M52" s="49"/>
    </row>
    <row r="53">
      <c r="A53" s="35" t="s">
        <v>100</v>
      </c>
      <c r="B53" s="35" t="s">
        <v>55</v>
      </c>
      <c r="C53" s="71" t="s">
        <v>105</v>
      </c>
      <c r="D53" s="31">
        <f t="shared" si="1"/>
        <v>24</v>
      </c>
      <c r="E53" s="32">
        <f t="shared" si="2"/>
        <v>39</v>
      </c>
      <c r="F53" s="33">
        <f t="shared" si="3"/>
        <v>59</v>
      </c>
      <c r="G53" s="65">
        <v>9.0</v>
      </c>
      <c r="H53" s="35">
        <v>2024.0</v>
      </c>
      <c r="I53" s="35">
        <f t="shared" si="4"/>
        <v>3</v>
      </c>
      <c r="J53" s="45" t="s">
        <v>48</v>
      </c>
      <c r="K53" s="48"/>
      <c r="L53" s="48"/>
      <c r="M53" s="49"/>
    </row>
    <row r="54">
      <c r="A54" s="42" t="s">
        <v>100</v>
      </c>
      <c r="B54" s="42" t="s">
        <v>51</v>
      </c>
      <c r="C54" s="71" t="s">
        <v>106</v>
      </c>
      <c r="D54" s="31">
        <f t="shared" si="1"/>
        <v>20</v>
      </c>
      <c r="E54" s="32">
        <f t="shared" si="2"/>
        <v>30</v>
      </c>
      <c r="F54" s="33">
        <f t="shared" si="3"/>
        <v>45</v>
      </c>
      <c r="G54" s="43">
        <v>15.0</v>
      </c>
      <c r="H54" s="42">
        <v>2025.0</v>
      </c>
      <c r="I54" s="35">
        <f t="shared" si="4"/>
        <v>2</v>
      </c>
      <c r="J54" s="36" t="s">
        <v>48</v>
      </c>
      <c r="K54" s="61"/>
      <c r="L54" s="61"/>
      <c r="M54" s="62"/>
    </row>
    <row r="55">
      <c r="A55" s="29" t="s">
        <v>100</v>
      </c>
      <c r="B55" s="28" t="s">
        <v>46</v>
      </c>
      <c r="C55" s="71" t="s">
        <v>107</v>
      </c>
      <c r="D55" s="31">
        <f t="shared" si="1"/>
        <v>17</v>
      </c>
      <c r="E55" s="32">
        <f t="shared" si="2"/>
        <v>32</v>
      </c>
      <c r="F55" s="33">
        <f t="shared" si="3"/>
        <v>52</v>
      </c>
      <c r="G55" s="34">
        <v>2.0</v>
      </c>
      <c r="H55" s="28">
        <v>2024.0</v>
      </c>
      <c r="I55" s="35">
        <f t="shared" si="4"/>
        <v>3</v>
      </c>
      <c r="J55" s="39" t="s">
        <v>19</v>
      </c>
      <c r="K55" s="48">
        <v>1.0</v>
      </c>
      <c r="L55" s="48">
        <v>2024.0</v>
      </c>
      <c r="M55" s="49"/>
    </row>
    <row r="56">
      <c r="A56" s="42" t="s">
        <v>100</v>
      </c>
      <c r="B56" s="42" t="s">
        <v>51</v>
      </c>
      <c r="C56" s="72" t="s">
        <v>108</v>
      </c>
      <c r="D56" s="31">
        <f t="shared" si="1"/>
        <v>14</v>
      </c>
      <c r="E56" s="32">
        <f t="shared" si="2"/>
        <v>24</v>
      </c>
      <c r="F56" s="33">
        <f t="shared" si="3"/>
        <v>39</v>
      </c>
      <c r="G56" s="43">
        <v>9.0</v>
      </c>
      <c r="H56" s="42">
        <v>2025.0</v>
      </c>
      <c r="I56" s="35">
        <f t="shared" si="4"/>
        <v>2</v>
      </c>
      <c r="J56" s="36" t="s">
        <v>48</v>
      </c>
      <c r="K56" s="61"/>
      <c r="L56" s="61"/>
      <c r="M56" s="62"/>
    </row>
    <row r="57">
      <c r="A57" s="28" t="s">
        <v>100</v>
      </c>
      <c r="B57" s="66" t="s">
        <v>46</v>
      </c>
      <c r="C57" s="72" t="s">
        <v>109</v>
      </c>
      <c r="D57" s="31">
        <f t="shared" si="1"/>
        <v>9</v>
      </c>
      <c r="E57" s="32">
        <f t="shared" si="2"/>
        <v>19</v>
      </c>
      <c r="F57" s="33">
        <f t="shared" si="3"/>
        <v>34</v>
      </c>
      <c r="G57" s="43">
        <v>4.0</v>
      </c>
      <c r="H57" s="28">
        <v>2025.0</v>
      </c>
      <c r="I57" s="35">
        <f t="shared" si="4"/>
        <v>2</v>
      </c>
      <c r="J57" s="36" t="s">
        <v>48</v>
      </c>
      <c r="K57" s="63"/>
      <c r="L57" s="63"/>
      <c r="M57" s="64"/>
    </row>
    <row r="58">
      <c r="A58" s="28" t="s">
        <v>100</v>
      </c>
      <c r="B58" s="46" t="s">
        <v>51</v>
      </c>
      <c r="C58" s="71" t="s">
        <v>110</v>
      </c>
      <c r="D58" s="31">
        <f t="shared" si="1"/>
        <v>7</v>
      </c>
      <c r="E58" s="32">
        <f t="shared" si="2"/>
        <v>17</v>
      </c>
      <c r="F58" s="33">
        <f t="shared" si="3"/>
        <v>32</v>
      </c>
      <c r="G58" s="47">
        <v>2.0</v>
      </c>
      <c r="H58" s="42">
        <v>2025.0</v>
      </c>
      <c r="I58" s="35">
        <f t="shared" si="4"/>
        <v>2</v>
      </c>
      <c r="J58" s="36" t="s">
        <v>48</v>
      </c>
      <c r="K58" s="61">
        <v>1.0</v>
      </c>
      <c r="L58" s="61">
        <v>2025.0</v>
      </c>
      <c r="M58" s="62"/>
    </row>
    <row r="59">
      <c r="A59" s="29" t="s">
        <v>100</v>
      </c>
      <c r="B59" s="46" t="s">
        <v>51</v>
      </c>
      <c r="C59" s="71" t="s">
        <v>111</v>
      </c>
      <c r="D59" s="31">
        <f t="shared" si="1"/>
        <v>6</v>
      </c>
      <c r="E59" s="32">
        <f t="shared" si="2"/>
        <v>16</v>
      </c>
      <c r="F59" s="33">
        <f t="shared" si="3"/>
        <v>31</v>
      </c>
      <c r="G59" s="47">
        <v>1.0</v>
      </c>
      <c r="H59" s="42">
        <v>2025.0</v>
      </c>
      <c r="I59" s="35">
        <f t="shared" si="4"/>
        <v>2</v>
      </c>
      <c r="J59" s="46" t="s">
        <v>57</v>
      </c>
      <c r="K59" s="48">
        <v>2.0</v>
      </c>
      <c r="L59" s="48">
        <v>2025.0</v>
      </c>
      <c r="M59" s="49" t="s">
        <v>112</v>
      </c>
    </row>
    <row r="60">
      <c r="A60" s="28" t="s">
        <v>100</v>
      </c>
      <c r="B60" s="46" t="s">
        <v>46</v>
      </c>
      <c r="C60" s="71" t="s">
        <v>113</v>
      </c>
      <c r="D60" s="31">
        <f t="shared" si="1"/>
        <v>6</v>
      </c>
      <c r="E60" s="32">
        <f t="shared" si="2"/>
        <v>16</v>
      </c>
      <c r="F60" s="33">
        <f t="shared" si="3"/>
        <v>31</v>
      </c>
      <c r="G60" s="47">
        <v>1.0</v>
      </c>
      <c r="H60" s="42">
        <v>2025.0</v>
      </c>
      <c r="I60" s="35">
        <f t="shared" si="4"/>
        <v>2</v>
      </c>
      <c r="J60" s="46" t="s">
        <v>57</v>
      </c>
      <c r="K60" s="61">
        <v>2.0</v>
      </c>
      <c r="L60" s="61">
        <v>2025.0</v>
      </c>
      <c r="M60" s="62"/>
    </row>
    <row r="61">
      <c r="A61" s="42" t="s">
        <v>100</v>
      </c>
      <c r="B61" s="66" t="s">
        <v>60</v>
      </c>
      <c r="C61" s="72" t="s">
        <v>114</v>
      </c>
      <c r="D61" s="31">
        <f t="shared" si="1"/>
        <v>6</v>
      </c>
      <c r="E61" s="32">
        <f t="shared" si="2"/>
        <v>16</v>
      </c>
      <c r="F61" s="33">
        <f t="shared" si="3"/>
        <v>31</v>
      </c>
      <c r="G61" s="43">
        <v>1.0</v>
      </c>
      <c r="H61" s="42">
        <v>2025.0</v>
      </c>
      <c r="I61" s="35">
        <f t="shared" si="4"/>
        <v>2</v>
      </c>
      <c r="J61" s="36" t="s">
        <v>48</v>
      </c>
      <c r="K61" s="63"/>
      <c r="L61" s="63"/>
      <c r="M61" s="64"/>
    </row>
    <row r="62">
      <c r="A62" s="29" t="s">
        <v>100</v>
      </c>
      <c r="B62" s="46" t="s">
        <v>57</v>
      </c>
      <c r="C62" s="30" t="s">
        <v>115</v>
      </c>
      <c r="D62" s="31">
        <f t="shared" si="1"/>
        <v>2</v>
      </c>
      <c r="E62" s="32">
        <f t="shared" si="2"/>
        <v>7</v>
      </c>
      <c r="F62" s="33">
        <f t="shared" si="3"/>
        <v>17</v>
      </c>
      <c r="G62" s="47">
        <v>2.0</v>
      </c>
      <c r="H62" s="42">
        <v>2026.0</v>
      </c>
      <c r="I62" s="35">
        <f t="shared" si="4"/>
        <v>1</v>
      </c>
      <c r="J62" s="46" t="s">
        <v>57</v>
      </c>
      <c r="K62" s="48">
        <v>1.0</v>
      </c>
      <c r="L62" s="48">
        <v>2026.0</v>
      </c>
      <c r="M62" s="49" t="s">
        <v>116</v>
      </c>
    </row>
    <row r="63">
      <c r="A63" s="42" t="s">
        <v>100</v>
      </c>
      <c r="B63" s="42" t="s">
        <v>60</v>
      </c>
      <c r="C63" s="58" t="s">
        <v>117</v>
      </c>
      <c r="D63" s="31">
        <f t="shared" si="1"/>
        <v>7</v>
      </c>
      <c r="E63" s="32">
        <f t="shared" si="2"/>
        <v>17</v>
      </c>
      <c r="F63" s="33">
        <f t="shared" si="3"/>
        <v>32</v>
      </c>
      <c r="G63" s="43">
        <v>2.0</v>
      </c>
      <c r="H63" s="42">
        <v>2025.0</v>
      </c>
      <c r="I63" s="35">
        <f t="shared" si="4"/>
        <v>2</v>
      </c>
      <c r="J63" s="51" t="s">
        <v>64</v>
      </c>
      <c r="K63" s="63"/>
      <c r="L63" s="63"/>
      <c r="M63" s="64"/>
    </row>
    <row r="64">
      <c r="A64" s="42" t="s">
        <v>100</v>
      </c>
      <c r="B64" s="35" t="s">
        <v>51</v>
      </c>
      <c r="C64" s="58" t="s">
        <v>118</v>
      </c>
      <c r="D64" s="31">
        <f t="shared" si="1"/>
        <v>7</v>
      </c>
      <c r="E64" s="32">
        <f t="shared" si="2"/>
        <v>17</v>
      </c>
      <c r="F64" s="33">
        <f t="shared" si="3"/>
        <v>32</v>
      </c>
      <c r="G64" s="43">
        <v>2.0</v>
      </c>
      <c r="H64" s="42">
        <v>2025.0</v>
      </c>
      <c r="I64" s="35">
        <f t="shared" si="4"/>
        <v>2</v>
      </c>
      <c r="J64" s="51" t="s">
        <v>64</v>
      </c>
      <c r="K64" s="61"/>
      <c r="L64" s="61"/>
      <c r="M64" s="62"/>
    </row>
    <row r="65">
      <c r="A65" s="42" t="s">
        <v>100</v>
      </c>
      <c r="B65" s="66" t="s">
        <v>51</v>
      </c>
      <c r="C65" s="58" t="s">
        <v>119</v>
      </c>
      <c r="D65" s="31">
        <f t="shared" si="1"/>
        <v>7</v>
      </c>
      <c r="E65" s="32">
        <f t="shared" si="2"/>
        <v>17</v>
      </c>
      <c r="F65" s="33">
        <f t="shared" si="3"/>
        <v>32</v>
      </c>
      <c r="G65" s="43">
        <v>2.0</v>
      </c>
      <c r="H65" s="42">
        <v>2025.0</v>
      </c>
      <c r="I65" s="35">
        <f t="shared" si="4"/>
        <v>2</v>
      </c>
      <c r="J65" s="51" t="s">
        <v>64</v>
      </c>
      <c r="K65" s="48"/>
      <c r="L65" s="48"/>
      <c r="M65" s="49"/>
    </row>
    <row r="66">
      <c r="A66" s="42" t="s">
        <v>100</v>
      </c>
      <c r="B66" s="42" t="s">
        <v>55</v>
      </c>
      <c r="C66" s="58" t="s">
        <v>120</v>
      </c>
      <c r="D66" s="31">
        <v>7.0</v>
      </c>
      <c r="E66" s="32">
        <v>17.0</v>
      </c>
      <c r="F66" s="33">
        <v>32.0</v>
      </c>
      <c r="G66" s="43">
        <v>2.0</v>
      </c>
      <c r="H66" s="42">
        <v>2025.0</v>
      </c>
      <c r="I66" s="35">
        <f t="shared" si="4"/>
        <v>2</v>
      </c>
      <c r="J66" s="39" t="s">
        <v>64</v>
      </c>
      <c r="K66" s="61"/>
      <c r="L66" s="61"/>
      <c r="M66" s="62"/>
    </row>
    <row r="67">
      <c r="A67" s="42" t="s">
        <v>100</v>
      </c>
      <c r="B67" s="44" t="s">
        <v>51</v>
      </c>
      <c r="C67" s="58" t="s">
        <v>121</v>
      </c>
      <c r="D67" s="31">
        <v>7.0</v>
      </c>
      <c r="E67" s="32">
        <v>17.0</v>
      </c>
      <c r="F67" s="33">
        <v>32.0</v>
      </c>
      <c r="G67" s="43">
        <v>2.0</v>
      </c>
      <c r="H67" s="42">
        <v>2025.0</v>
      </c>
      <c r="I67" s="35">
        <f t="shared" si="4"/>
        <v>2</v>
      </c>
      <c r="J67" s="39" t="s">
        <v>64</v>
      </c>
      <c r="K67" s="63"/>
      <c r="L67" s="63"/>
      <c r="M67" s="64"/>
    </row>
    <row r="68">
      <c r="A68" s="42" t="s">
        <v>100</v>
      </c>
      <c r="B68" s="42" t="s">
        <v>60</v>
      </c>
      <c r="C68" s="58" t="s">
        <v>122</v>
      </c>
      <c r="D68" s="31">
        <v>7.0</v>
      </c>
      <c r="E68" s="32">
        <v>17.0</v>
      </c>
      <c r="F68" s="33">
        <v>32.0</v>
      </c>
      <c r="G68" s="43">
        <v>2.0</v>
      </c>
      <c r="H68" s="42">
        <v>2025.0</v>
      </c>
      <c r="I68" s="35">
        <f t="shared" si="4"/>
        <v>2</v>
      </c>
      <c r="J68" s="39" t="s">
        <v>64</v>
      </c>
      <c r="K68" s="61"/>
      <c r="L68" s="61"/>
      <c r="M68" s="62"/>
    </row>
    <row r="69">
      <c r="A69" s="42" t="s">
        <v>100</v>
      </c>
      <c r="B69" s="42" t="s">
        <v>46</v>
      </c>
      <c r="C69" s="58" t="s">
        <v>123</v>
      </c>
      <c r="D69" s="31">
        <v>7.0</v>
      </c>
      <c r="E69" s="32">
        <v>17.0</v>
      </c>
      <c r="F69" s="33">
        <v>32.0</v>
      </c>
      <c r="G69" s="43">
        <v>2.0</v>
      </c>
      <c r="H69" s="42">
        <v>2025.0</v>
      </c>
      <c r="I69" s="35">
        <f t="shared" si="4"/>
        <v>2</v>
      </c>
      <c r="J69" s="39" t="s">
        <v>64</v>
      </c>
      <c r="K69" s="63"/>
      <c r="L69" s="63"/>
      <c r="M69" s="64"/>
    </row>
    <row r="70">
      <c r="A70" s="42" t="s">
        <v>100</v>
      </c>
      <c r="B70" s="42" t="s">
        <v>55</v>
      </c>
      <c r="C70" s="58" t="s">
        <v>120</v>
      </c>
      <c r="D70" s="31">
        <f t="shared" ref="D70:D352" si="5">G70+((5*I70*(I70-1))/2)</f>
        <v>7</v>
      </c>
      <c r="E70" s="32">
        <f t="shared" ref="E70:E352" si="6">G70+((5*I70*(I70+1))/2)</f>
        <v>17</v>
      </c>
      <c r="F70" s="33">
        <f t="shared" ref="F70:F352" si="7">G70+((5*(I70+1)*(I70+2))/2)</f>
        <v>32</v>
      </c>
      <c r="G70" s="43">
        <v>2.0</v>
      </c>
      <c r="H70" s="42">
        <v>2025.0</v>
      </c>
      <c r="I70" s="35">
        <f t="shared" si="4"/>
        <v>2</v>
      </c>
      <c r="J70" s="39" t="s">
        <v>64</v>
      </c>
      <c r="K70" s="61"/>
      <c r="L70" s="61"/>
      <c r="M70" s="62"/>
    </row>
    <row r="71">
      <c r="A71" s="28" t="s">
        <v>100</v>
      </c>
      <c r="B71" s="42" t="s">
        <v>51</v>
      </c>
      <c r="C71" s="58" t="s">
        <v>124</v>
      </c>
      <c r="D71" s="31">
        <f t="shared" si="5"/>
        <v>15</v>
      </c>
      <c r="E71" s="32">
        <f t="shared" si="6"/>
        <v>25</v>
      </c>
      <c r="F71" s="33">
        <f t="shared" si="7"/>
        <v>40</v>
      </c>
      <c r="G71" s="43">
        <v>10.0</v>
      </c>
      <c r="H71" s="28">
        <v>2025.0</v>
      </c>
      <c r="I71" s="35">
        <f t="shared" si="4"/>
        <v>2</v>
      </c>
      <c r="J71" s="39" t="s">
        <v>48</v>
      </c>
      <c r="K71" s="63"/>
      <c r="L71" s="63"/>
      <c r="M71" s="64"/>
    </row>
    <row r="72">
      <c r="A72" s="42" t="s">
        <v>125</v>
      </c>
      <c r="B72" s="29" t="s">
        <v>55</v>
      </c>
      <c r="C72" s="58" t="s">
        <v>126</v>
      </c>
      <c r="D72" s="31">
        <f t="shared" si="5"/>
        <v>32</v>
      </c>
      <c r="E72" s="32">
        <f t="shared" si="6"/>
        <v>52</v>
      </c>
      <c r="F72" s="33">
        <f t="shared" si="7"/>
        <v>77</v>
      </c>
      <c r="G72" s="60">
        <v>2.0</v>
      </c>
      <c r="H72" s="29">
        <v>2023.0</v>
      </c>
      <c r="I72" s="35">
        <f t="shared" si="4"/>
        <v>4</v>
      </c>
      <c r="J72" s="36" t="s">
        <v>48</v>
      </c>
      <c r="K72" s="48">
        <v>1.0</v>
      </c>
      <c r="L72" s="48">
        <v>2025.0</v>
      </c>
      <c r="M72" s="49" t="s">
        <v>127</v>
      </c>
    </row>
    <row r="73">
      <c r="A73" s="73" t="s">
        <v>125</v>
      </c>
      <c r="B73" s="28" t="s">
        <v>46</v>
      </c>
      <c r="C73" s="58" t="s">
        <v>128</v>
      </c>
      <c r="D73" s="31">
        <f t="shared" si="5"/>
        <v>17</v>
      </c>
      <c r="E73" s="32">
        <f t="shared" si="6"/>
        <v>32</v>
      </c>
      <c r="F73" s="33">
        <f t="shared" si="7"/>
        <v>52</v>
      </c>
      <c r="G73" s="34">
        <v>2.0</v>
      </c>
      <c r="H73" s="28">
        <v>2024.0</v>
      </c>
      <c r="I73" s="35">
        <f t="shared" si="4"/>
        <v>3</v>
      </c>
      <c r="J73" s="51" t="s">
        <v>64</v>
      </c>
      <c r="K73" s="63"/>
      <c r="L73" s="63"/>
      <c r="M73" s="64"/>
    </row>
    <row r="74">
      <c r="A74" s="28" t="s">
        <v>125</v>
      </c>
      <c r="B74" s="28" t="s">
        <v>55</v>
      </c>
      <c r="C74" s="58" t="s">
        <v>129</v>
      </c>
      <c r="D74" s="31">
        <f t="shared" si="5"/>
        <v>16</v>
      </c>
      <c r="E74" s="32">
        <f t="shared" si="6"/>
        <v>31</v>
      </c>
      <c r="F74" s="33">
        <f t="shared" si="7"/>
        <v>51</v>
      </c>
      <c r="G74" s="34">
        <v>1.0</v>
      </c>
      <c r="H74" s="28">
        <v>2024.0</v>
      </c>
      <c r="I74" s="35">
        <f t="shared" si="4"/>
        <v>3</v>
      </c>
      <c r="J74" s="39" t="s">
        <v>19</v>
      </c>
      <c r="K74" s="40">
        <v>2.0</v>
      </c>
      <c r="L74" s="40">
        <v>2024.0</v>
      </c>
      <c r="M74" s="41"/>
    </row>
    <row r="75">
      <c r="A75" s="28" t="s">
        <v>125</v>
      </c>
      <c r="B75" s="74" t="s">
        <v>51</v>
      </c>
      <c r="C75" s="58" t="s">
        <v>130</v>
      </c>
      <c r="D75" s="31">
        <f t="shared" si="5"/>
        <v>30</v>
      </c>
      <c r="E75" s="32">
        <f t="shared" si="6"/>
        <v>40</v>
      </c>
      <c r="F75" s="33">
        <f t="shared" si="7"/>
        <v>55</v>
      </c>
      <c r="G75" s="43">
        <v>25.0</v>
      </c>
      <c r="H75" s="28">
        <v>2025.0</v>
      </c>
      <c r="I75" s="35">
        <f t="shared" si="4"/>
        <v>2</v>
      </c>
      <c r="J75" s="39" t="s">
        <v>48</v>
      </c>
      <c r="K75" s="40"/>
      <c r="L75" s="40"/>
      <c r="M75" s="41"/>
    </row>
    <row r="76">
      <c r="A76" s="28" t="s">
        <v>125</v>
      </c>
      <c r="B76" s="29" t="s">
        <v>46</v>
      </c>
      <c r="C76" s="58" t="s">
        <v>131</v>
      </c>
      <c r="D76" s="31">
        <f t="shared" si="5"/>
        <v>24</v>
      </c>
      <c r="E76" s="32">
        <f t="shared" si="6"/>
        <v>34</v>
      </c>
      <c r="F76" s="33">
        <f t="shared" si="7"/>
        <v>49</v>
      </c>
      <c r="G76" s="34">
        <v>19.0</v>
      </c>
      <c r="H76" s="28">
        <v>2025.0</v>
      </c>
      <c r="I76" s="35">
        <f t="shared" si="4"/>
        <v>2</v>
      </c>
      <c r="J76" s="39" t="s">
        <v>48</v>
      </c>
      <c r="K76" s="40"/>
      <c r="L76" s="40"/>
      <c r="M76" s="41"/>
    </row>
    <row r="77">
      <c r="A77" s="28" t="s">
        <v>125</v>
      </c>
      <c r="B77" s="66" t="s">
        <v>55</v>
      </c>
      <c r="C77" s="58" t="s">
        <v>132</v>
      </c>
      <c r="D77" s="31">
        <f t="shared" si="5"/>
        <v>9</v>
      </c>
      <c r="E77" s="32">
        <f t="shared" si="6"/>
        <v>19</v>
      </c>
      <c r="F77" s="33">
        <f t="shared" si="7"/>
        <v>34</v>
      </c>
      <c r="G77" s="43">
        <v>4.0</v>
      </c>
      <c r="H77" s="28">
        <v>2025.0</v>
      </c>
      <c r="I77" s="35">
        <f t="shared" si="4"/>
        <v>2</v>
      </c>
      <c r="J77" s="39" t="s">
        <v>48</v>
      </c>
      <c r="K77" s="40"/>
      <c r="L77" s="40"/>
      <c r="M77" s="41"/>
    </row>
    <row r="78">
      <c r="A78" s="28" t="s">
        <v>125</v>
      </c>
      <c r="B78" s="42" t="s">
        <v>51</v>
      </c>
      <c r="C78" s="58" t="s">
        <v>133</v>
      </c>
      <c r="D78" s="31">
        <f t="shared" si="5"/>
        <v>9</v>
      </c>
      <c r="E78" s="32">
        <f t="shared" si="6"/>
        <v>19</v>
      </c>
      <c r="F78" s="33">
        <f t="shared" si="7"/>
        <v>34</v>
      </c>
      <c r="G78" s="43">
        <v>4.0</v>
      </c>
      <c r="H78" s="28">
        <v>2025.0</v>
      </c>
      <c r="I78" s="35">
        <f t="shared" si="4"/>
        <v>2</v>
      </c>
      <c r="J78" s="39" t="s">
        <v>48</v>
      </c>
      <c r="K78" s="40"/>
      <c r="L78" s="40"/>
      <c r="M78" s="41"/>
    </row>
    <row r="79">
      <c r="A79" s="28" t="s">
        <v>125</v>
      </c>
      <c r="B79" s="46" t="s">
        <v>46</v>
      </c>
      <c r="C79" s="58" t="s">
        <v>134</v>
      </c>
      <c r="D79" s="31">
        <f t="shared" si="5"/>
        <v>7</v>
      </c>
      <c r="E79" s="32">
        <f t="shared" si="6"/>
        <v>17</v>
      </c>
      <c r="F79" s="33">
        <f t="shared" si="7"/>
        <v>32</v>
      </c>
      <c r="G79" s="47">
        <v>2.0</v>
      </c>
      <c r="H79" s="42">
        <v>2025.0</v>
      </c>
      <c r="I79" s="35">
        <f t="shared" si="4"/>
        <v>2</v>
      </c>
      <c r="J79" s="46" t="s">
        <v>57</v>
      </c>
      <c r="K79" s="48">
        <v>1.0</v>
      </c>
      <c r="L79" s="48">
        <v>2025.0</v>
      </c>
      <c r="M79" s="49" t="s">
        <v>135</v>
      </c>
    </row>
    <row r="80">
      <c r="A80" s="28" t="s">
        <v>125</v>
      </c>
      <c r="B80" s="46" t="s">
        <v>51</v>
      </c>
      <c r="C80" s="58" t="s">
        <v>136</v>
      </c>
      <c r="D80" s="31">
        <f t="shared" si="5"/>
        <v>7</v>
      </c>
      <c r="E80" s="32">
        <f t="shared" si="6"/>
        <v>17</v>
      </c>
      <c r="F80" s="33">
        <f t="shared" si="7"/>
        <v>32</v>
      </c>
      <c r="G80" s="47">
        <v>2.0</v>
      </c>
      <c r="H80" s="42">
        <v>2025.0</v>
      </c>
      <c r="I80" s="35">
        <f t="shared" si="4"/>
        <v>2</v>
      </c>
      <c r="J80" s="46" t="s">
        <v>57</v>
      </c>
      <c r="K80" s="48">
        <v>1.0</v>
      </c>
      <c r="L80" s="48">
        <v>2025.0</v>
      </c>
      <c r="M80" s="49" t="s">
        <v>137</v>
      </c>
    </row>
    <row r="81">
      <c r="A81" s="55" t="s">
        <v>125</v>
      </c>
      <c r="B81" s="56" t="s">
        <v>57</v>
      </c>
      <c r="C81" s="30" t="s">
        <v>138</v>
      </c>
      <c r="D81" s="31">
        <f t="shared" si="5"/>
        <v>2</v>
      </c>
      <c r="E81" s="32">
        <f t="shared" si="6"/>
        <v>7</v>
      </c>
      <c r="F81" s="33">
        <f t="shared" si="7"/>
        <v>17</v>
      </c>
      <c r="G81" s="57">
        <v>2.0</v>
      </c>
      <c r="H81" s="46">
        <v>2026.0</v>
      </c>
      <c r="I81" s="35">
        <f t="shared" si="4"/>
        <v>1</v>
      </c>
      <c r="J81" s="46" t="s">
        <v>57</v>
      </c>
      <c r="K81" s="48">
        <v>1.0</v>
      </c>
      <c r="L81" s="48">
        <v>2026.0</v>
      </c>
      <c r="M81" s="49"/>
    </row>
    <row r="82">
      <c r="A82" s="55" t="s">
        <v>125</v>
      </c>
      <c r="B82" s="56" t="s">
        <v>57</v>
      </c>
      <c r="C82" s="30" t="s">
        <v>74</v>
      </c>
      <c r="D82" s="31">
        <f t="shared" si="5"/>
        <v>1</v>
      </c>
      <c r="E82" s="32">
        <f t="shared" si="6"/>
        <v>6</v>
      </c>
      <c r="F82" s="33">
        <f t="shared" si="7"/>
        <v>16</v>
      </c>
      <c r="G82" s="57">
        <v>1.0</v>
      </c>
      <c r="H82" s="46">
        <v>2026.0</v>
      </c>
      <c r="I82" s="35">
        <f t="shared" si="4"/>
        <v>1</v>
      </c>
      <c r="J82" s="46" t="s">
        <v>57</v>
      </c>
      <c r="K82" s="40">
        <v>2.0</v>
      </c>
      <c r="L82" s="40">
        <v>2026.0</v>
      </c>
      <c r="M82" s="41"/>
    </row>
    <row r="83">
      <c r="A83" s="28" t="s">
        <v>125</v>
      </c>
      <c r="B83" s="46" t="s">
        <v>60</v>
      </c>
      <c r="C83" s="58" t="s">
        <v>139</v>
      </c>
      <c r="D83" s="31">
        <f t="shared" si="5"/>
        <v>7</v>
      </c>
      <c r="E83" s="32">
        <f t="shared" si="6"/>
        <v>17</v>
      </c>
      <c r="F83" s="33">
        <f t="shared" si="7"/>
        <v>32</v>
      </c>
      <c r="G83" s="47">
        <v>2.0</v>
      </c>
      <c r="H83" s="42">
        <v>2025.0</v>
      </c>
      <c r="I83" s="35">
        <f t="shared" si="4"/>
        <v>2</v>
      </c>
      <c r="J83" s="46" t="s">
        <v>57</v>
      </c>
      <c r="K83" s="48">
        <v>1.0</v>
      </c>
      <c r="L83" s="48">
        <v>2025.0</v>
      </c>
      <c r="M83" s="49"/>
    </row>
    <row r="84">
      <c r="A84" s="28" t="s">
        <v>125</v>
      </c>
      <c r="B84" s="75" t="s">
        <v>51</v>
      </c>
      <c r="C84" s="58" t="s">
        <v>140</v>
      </c>
      <c r="D84" s="31">
        <f t="shared" si="5"/>
        <v>6</v>
      </c>
      <c r="E84" s="32">
        <f t="shared" si="6"/>
        <v>16</v>
      </c>
      <c r="F84" s="33">
        <f t="shared" si="7"/>
        <v>31</v>
      </c>
      <c r="G84" s="43">
        <v>1.0</v>
      </c>
      <c r="H84" s="28">
        <v>2025.0</v>
      </c>
      <c r="I84" s="35">
        <f t="shared" si="4"/>
        <v>2</v>
      </c>
      <c r="J84" s="39" t="s">
        <v>48</v>
      </c>
      <c r="K84" s="40"/>
      <c r="L84" s="40"/>
      <c r="M84" s="41"/>
    </row>
    <row r="85">
      <c r="A85" s="28" t="s">
        <v>125</v>
      </c>
      <c r="B85" s="28" t="s">
        <v>51</v>
      </c>
      <c r="C85" s="58" t="s">
        <v>141</v>
      </c>
      <c r="D85" s="31">
        <f t="shared" si="5"/>
        <v>6</v>
      </c>
      <c r="E85" s="32">
        <f t="shared" si="6"/>
        <v>16</v>
      </c>
      <c r="F85" s="33">
        <f t="shared" si="7"/>
        <v>31</v>
      </c>
      <c r="G85" s="34">
        <v>1.0</v>
      </c>
      <c r="H85" s="28">
        <v>2025.0</v>
      </c>
      <c r="I85" s="35">
        <f t="shared" si="4"/>
        <v>2</v>
      </c>
      <c r="J85" s="39" t="s">
        <v>48</v>
      </c>
      <c r="K85" s="40"/>
      <c r="L85" s="40"/>
      <c r="M85" s="41"/>
    </row>
    <row r="86">
      <c r="A86" s="28" t="s">
        <v>125</v>
      </c>
      <c r="B86" s="44" t="s">
        <v>51</v>
      </c>
      <c r="C86" s="58" t="s">
        <v>142</v>
      </c>
      <c r="D86" s="31">
        <f t="shared" si="5"/>
        <v>6</v>
      </c>
      <c r="E86" s="32">
        <f t="shared" si="6"/>
        <v>16</v>
      </c>
      <c r="F86" s="33">
        <f t="shared" si="7"/>
        <v>31</v>
      </c>
      <c r="G86" s="34">
        <v>1.0</v>
      </c>
      <c r="H86" s="28">
        <v>2025.0</v>
      </c>
      <c r="I86" s="35">
        <f t="shared" si="4"/>
        <v>2</v>
      </c>
      <c r="J86" s="39" t="s">
        <v>48</v>
      </c>
      <c r="K86" s="40"/>
      <c r="L86" s="40"/>
      <c r="M86" s="41"/>
    </row>
    <row r="87">
      <c r="A87" s="28" t="s">
        <v>125</v>
      </c>
      <c r="B87" s="28" t="s">
        <v>51</v>
      </c>
      <c r="C87" s="58" t="s">
        <v>143</v>
      </c>
      <c r="D87" s="31">
        <f t="shared" si="5"/>
        <v>7</v>
      </c>
      <c r="E87" s="32">
        <f t="shared" si="6"/>
        <v>17</v>
      </c>
      <c r="F87" s="33">
        <f t="shared" si="7"/>
        <v>32</v>
      </c>
      <c r="G87" s="34">
        <v>2.0</v>
      </c>
      <c r="H87" s="28">
        <v>2025.0</v>
      </c>
      <c r="I87" s="35">
        <f t="shared" si="4"/>
        <v>2</v>
      </c>
      <c r="J87" s="46" t="s">
        <v>64</v>
      </c>
      <c r="K87" s="40">
        <v>1.0</v>
      </c>
      <c r="L87" s="40">
        <v>2026.0</v>
      </c>
      <c r="M87" s="41"/>
    </row>
    <row r="88">
      <c r="A88" s="42" t="s">
        <v>125</v>
      </c>
      <c r="B88" s="44" t="s">
        <v>46</v>
      </c>
      <c r="C88" s="58" t="s">
        <v>144</v>
      </c>
      <c r="D88" s="31">
        <f t="shared" si="5"/>
        <v>7</v>
      </c>
      <c r="E88" s="32">
        <f t="shared" si="6"/>
        <v>17</v>
      </c>
      <c r="F88" s="33">
        <f t="shared" si="7"/>
        <v>32</v>
      </c>
      <c r="G88" s="43">
        <v>2.0</v>
      </c>
      <c r="H88" s="42">
        <v>2025.0</v>
      </c>
      <c r="I88" s="35">
        <f t="shared" si="4"/>
        <v>2</v>
      </c>
      <c r="J88" s="39" t="s">
        <v>64</v>
      </c>
      <c r="K88" s="48"/>
      <c r="L88" s="48"/>
      <c r="M88" s="49"/>
    </row>
    <row r="89">
      <c r="A89" s="42" t="s">
        <v>125</v>
      </c>
      <c r="B89" s="66" t="s">
        <v>46</v>
      </c>
      <c r="C89" s="58" t="s">
        <v>145</v>
      </c>
      <c r="D89" s="31">
        <f t="shared" si="5"/>
        <v>7</v>
      </c>
      <c r="E89" s="32">
        <f t="shared" si="6"/>
        <v>17</v>
      </c>
      <c r="F89" s="33">
        <f t="shared" si="7"/>
        <v>32</v>
      </c>
      <c r="G89" s="43">
        <v>2.0</v>
      </c>
      <c r="H89" s="42">
        <v>2025.0</v>
      </c>
      <c r="I89" s="35">
        <f t="shared" si="4"/>
        <v>2</v>
      </c>
      <c r="J89" s="39" t="s">
        <v>64</v>
      </c>
      <c r="K89" s="40"/>
      <c r="L89" s="40"/>
      <c r="M89" s="41"/>
    </row>
    <row r="90">
      <c r="A90" s="42" t="s">
        <v>125</v>
      </c>
      <c r="B90" s="66" t="s">
        <v>51</v>
      </c>
      <c r="C90" s="58" t="s">
        <v>146</v>
      </c>
      <c r="D90" s="31">
        <f t="shared" si="5"/>
        <v>7</v>
      </c>
      <c r="E90" s="32">
        <f t="shared" si="6"/>
        <v>17</v>
      </c>
      <c r="F90" s="33">
        <f t="shared" si="7"/>
        <v>32</v>
      </c>
      <c r="G90" s="43">
        <v>2.0</v>
      </c>
      <c r="H90" s="42">
        <v>2025.0</v>
      </c>
      <c r="I90" s="35">
        <f t="shared" si="4"/>
        <v>2</v>
      </c>
      <c r="J90" s="39" t="s">
        <v>64</v>
      </c>
      <c r="K90" s="40"/>
      <c r="L90" s="40"/>
      <c r="M90" s="41"/>
    </row>
    <row r="91">
      <c r="A91" s="42" t="s">
        <v>125</v>
      </c>
      <c r="B91" s="66" t="s">
        <v>55</v>
      </c>
      <c r="C91" s="58" t="s">
        <v>147</v>
      </c>
      <c r="D91" s="31">
        <f t="shared" si="5"/>
        <v>7</v>
      </c>
      <c r="E91" s="32">
        <f t="shared" si="6"/>
        <v>17</v>
      </c>
      <c r="F91" s="33">
        <f t="shared" si="7"/>
        <v>32</v>
      </c>
      <c r="G91" s="43">
        <v>2.0</v>
      </c>
      <c r="H91" s="42">
        <v>2025.0</v>
      </c>
      <c r="I91" s="35">
        <f t="shared" si="4"/>
        <v>2</v>
      </c>
      <c r="J91" s="39" t="s">
        <v>64</v>
      </c>
      <c r="K91" s="40"/>
      <c r="L91" s="40"/>
      <c r="M91" s="41"/>
    </row>
    <row r="92">
      <c r="A92" s="76" t="s">
        <v>125</v>
      </c>
      <c r="B92" s="42" t="s">
        <v>60</v>
      </c>
      <c r="C92" s="58" t="s">
        <v>148</v>
      </c>
      <c r="D92" s="31">
        <f t="shared" si="5"/>
        <v>7</v>
      </c>
      <c r="E92" s="32">
        <f t="shared" si="6"/>
        <v>17</v>
      </c>
      <c r="F92" s="33">
        <f t="shared" si="7"/>
        <v>32</v>
      </c>
      <c r="G92" s="43">
        <v>2.0</v>
      </c>
      <c r="H92" s="42">
        <v>2025.0</v>
      </c>
      <c r="I92" s="35">
        <f t="shared" si="4"/>
        <v>2</v>
      </c>
      <c r="J92" s="39" t="s">
        <v>64</v>
      </c>
      <c r="K92" s="40"/>
      <c r="L92" s="40"/>
      <c r="M92" s="41"/>
    </row>
    <row r="93">
      <c r="A93" s="42" t="s">
        <v>125</v>
      </c>
      <c r="B93" s="42" t="s">
        <v>46</v>
      </c>
      <c r="C93" s="58" t="s">
        <v>149</v>
      </c>
      <c r="D93" s="31">
        <f t="shared" si="5"/>
        <v>7</v>
      </c>
      <c r="E93" s="32">
        <f t="shared" si="6"/>
        <v>17</v>
      </c>
      <c r="F93" s="33">
        <f t="shared" si="7"/>
        <v>32</v>
      </c>
      <c r="G93" s="43">
        <v>2.0</v>
      </c>
      <c r="H93" s="42">
        <v>2025.0</v>
      </c>
      <c r="I93" s="35">
        <f t="shared" si="4"/>
        <v>2</v>
      </c>
      <c r="J93" s="39" t="s">
        <v>64</v>
      </c>
      <c r="K93" s="40"/>
      <c r="L93" s="40"/>
      <c r="M93" s="41"/>
    </row>
    <row r="94" hidden="1">
      <c r="A94" s="28"/>
      <c r="B94" s="42" t="s">
        <v>55</v>
      </c>
      <c r="C94" s="72" t="s">
        <v>150</v>
      </c>
      <c r="D94" s="31">
        <f t="shared" si="5"/>
        <v>6</v>
      </c>
      <c r="E94" s="32">
        <f t="shared" si="6"/>
        <v>16</v>
      </c>
      <c r="F94" s="33">
        <f t="shared" si="7"/>
        <v>31</v>
      </c>
      <c r="G94" s="43">
        <v>1.0</v>
      </c>
      <c r="H94" s="28">
        <v>2025.0</v>
      </c>
      <c r="I94" s="35">
        <f t="shared" si="4"/>
        <v>2</v>
      </c>
      <c r="J94" s="36" t="s">
        <v>48</v>
      </c>
      <c r="K94" s="48"/>
      <c r="L94" s="48"/>
      <c r="M94" s="49"/>
    </row>
    <row r="95">
      <c r="A95" s="42" t="s">
        <v>125</v>
      </c>
      <c r="B95" s="28" t="s">
        <v>55</v>
      </c>
      <c r="C95" s="58" t="s">
        <v>151</v>
      </c>
      <c r="D95" s="31">
        <f t="shared" si="5"/>
        <v>16</v>
      </c>
      <c r="E95" s="32">
        <f t="shared" si="6"/>
        <v>31</v>
      </c>
      <c r="F95" s="33">
        <f t="shared" si="7"/>
        <v>51</v>
      </c>
      <c r="G95" s="34">
        <v>1.0</v>
      </c>
      <c r="H95" s="28">
        <v>2024.0</v>
      </c>
      <c r="I95" s="35">
        <f t="shared" si="4"/>
        <v>3</v>
      </c>
      <c r="J95" s="39" t="s">
        <v>19</v>
      </c>
      <c r="K95" s="40">
        <v>2.0</v>
      </c>
      <c r="L95" s="40">
        <v>2024.0</v>
      </c>
      <c r="M95" s="41"/>
    </row>
    <row r="96">
      <c r="A96" s="29" t="s">
        <v>152</v>
      </c>
      <c r="B96" s="29" t="s">
        <v>55</v>
      </c>
      <c r="C96" s="59" t="s">
        <v>153</v>
      </c>
      <c r="D96" s="31">
        <f t="shared" si="5"/>
        <v>40</v>
      </c>
      <c r="E96" s="32">
        <f t="shared" si="6"/>
        <v>60</v>
      </c>
      <c r="F96" s="33">
        <f t="shared" si="7"/>
        <v>85</v>
      </c>
      <c r="G96" s="60">
        <v>10.0</v>
      </c>
      <c r="H96" s="29">
        <v>2023.0</v>
      </c>
      <c r="I96" s="35">
        <f t="shared" si="4"/>
        <v>4</v>
      </c>
      <c r="J96" s="36" t="s">
        <v>48</v>
      </c>
      <c r="K96" s="40"/>
      <c r="L96" s="40"/>
      <c r="M96" s="41"/>
    </row>
    <row r="97">
      <c r="A97" s="55" t="s">
        <v>152</v>
      </c>
      <c r="B97" s="56" t="s">
        <v>57</v>
      </c>
      <c r="C97" s="30" t="s">
        <v>154</v>
      </c>
      <c r="D97" s="31">
        <f t="shared" si="5"/>
        <v>2</v>
      </c>
      <c r="E97" s="32">
        <f t="shared" si="6"/>
        <v>7</v>
      </c>
      <c r="F97" s="33">
        <f t="shared" si="7"/>
        <v>17</v>
      </c>
      <c r="G97" s="57">
        <v>2.0</v>
      </c>
      <c r="H97" s="46">
        <v>2026.0</v>
      </c>
      <c r="I97" s="35">
        <f t="shared" si="4"/>
        <v>1</v>
      </c>
      <c r="J97" s="46" t="s">
        <v>57</v>
      </c>
      <c r="K97" s="40">
        <v>1.0</v>
      </c>
      <c r="L97" s="40">
        <v>2026.0</v>
      </c>
      <c r="M97" s="41" t="s">
        <v>155</v>
      </c>
    </row>
    <row r="98">
      <c r="A98" s="55" t="s">
        <v>152</v>
      </c>
      <c r="B98" s="56" t="s">
        <v>57</v>
      </c>
      <c r="C98" s="30" t="s">
        <v>74</v>
      </c>
      <c r="D98" s="31">
        <f t="shared" si="5"/>
        <v>1</v>
      </c>
      <c r="E98" s="32">
        <f t="shared" si="6"/>
        <v>6</v>
      </c>
      <c r="F98" s="33">
        <f t="shared" si="7"/>
        <v>16</v>
      </c>
      <c r="G98" s="57">
        <v>1.0</v>
      </c>
      <c r="H98" s="46">
        <v>2026.0</v>
      </c>
      <c r="I98" s="35">
        <f t="shared" si="4"/>
        <v>1</v>
      </c>
      <c r="J98" s="46" t="s">
        <v>57</v>
      </c>
      <c r="K98" s="40">
        <v>2.0</v>
      </c>
      <c r="L98" s="40">
        <v>2026.0</v>
      </c>
      <c r="M98" s="41"/>
    </row>
    <row r="99">
      <c r="A99" s="42" t="s">
        <v>152</v>
      </c>
      <c r="B99" s="42" t="s">
        <v>60</v>
      </c>
      <c r="C99" s="59" t="s">
        <v>156</v>
      </c>
      <c r="D99" s="31">
        <f t="shared" si="5"/>
        <v>17</v>
      </c>
      <c r="E99" s="32">
        <f t="shared" si="6"/>
        <v>32</v>
      </c>
      <c r="F99" s="33">
        <f t="shared" si="7"/>
        <v>52</v>
      </c>
      <c r="G99" s="43">
        <v>2.0</v>
      </c>
      <c r="H99" s="28">
        <v>2024.0</v>
      </c>
      <c r="I99" s="35">
        <f t="shared" si="4"/>
        <v>3</v>
      </c>
      <c r="J99" s="51" t="s">
        <v>64</v>
      </c>
      <c r="K99" s="48"/>
      <c r="L99" s="48"/>
      <c r="M99" s="49"/>
    </row>
    <row r="100">
      <c r="A100" s="28" t="s">
        <v>152</v>
      </c>
      <c r="B100" s="28" t="s">
        <v>46</v>
      </c>
      <c r="C100" s="59" t="s">
        <v>157</v>
      </c>
      <c r="D100" s="31">
        <f t="shared" si="5"/>
        <v>17</v>
      </c>
      <c r="E100" s="32">
        <f t="shared" si="6"/>
        <v>32</v>
      </c>
      <c r="F100" s="33">
        <f t="shared" si="7"/>
        <v>52</v>
      </c>
      <c r="G100" s="34">
        <v>2.0</v>
      </c>
      <c r="H100" s="28">
        <v>2024.0</v>
      </c>
      <c r="I100" s="35">
        <f t="shared" si="4"/>
        <v>3</v>
      </c>
      <c r="J100" s="39" t="s">
        <v>19</v>
      </c>
      <c r="K100" s="40">
        <v>1.0</v>
      </c>
      <c r="L100" s="40">
        <v>2024.0</v>
      </c>
      <c r="M100" s="41"/>
    </row>
    <row r="101">
      <c r="A101" s="28" t="s">
        <v>152</v>
      </c>
      <c r="B101" s="29" t="s">
        <v>46</v>
      </c>
      <c r="C101" s="59" t="s">
        <v>158</v>
      </c>
      <c r="D101" s="31">
        <f t="shared" si="5"/>
        <v>32</v>
      </c>
      <c r="E101" s="32">
        <f t="shared" si="6"/>
        <v>42</v>
      </c>
      <c r="F101" s="33">
        <f t="shared" si="7"/>
        <v>57</v>
      </c>
      <c r="G101" s="34">
        <v>27.0</v>
      </c>
      <c r="H101" s="28">
        <v>2025.0</v>
      </c>
      <c r="I101" s="35">
        <f t="shared" si="4"/>
        <v>2</v>
      </c>
      <c r="J101" s="36" t="s">
        <v>48</v>
      </c>
      <c r="K101" s="40"/>
      <c r="L101" s="40"/>
      <c r="M101" s="41"/>
    </row>
    <row r="102">
      <c r="A102" s="28" t="s">
        <v>152</v>
      </c>
      <c r="B102" s="42" t="s">
        <v>51</v>
      </c>
      <c r="C102" s="59" t="s">
        <v>159</v>
      </c>
      <c r="D102" s="31">
        <f t="shared" si="5"/>
        <v>21</v>
      </c>
      <c r="E102" s="32">
        <f t="shared" si="6"/>
        <v>31</v>
      </c>
      <c r="F102" s="33">
        <f t="shared" si="7"/>
        <v>46</v>
      </c>
      <c r="G102" s="34">
        <v>16.0</v>
      </c>
      <c r="H102" s="28">
        <v>2025.0</v>
      </c>
      <c r="I102" s="35">
        <f t="shared" si="4"/>
        <v>2</v>
      </c>
      <c r="J102" s="36" t="s">
        <v>48</v>
      </c>
      <c r="K102" s="40"/>
      <c r="L102" s="40"/>
      <c r="M102" s="41"/>
    </row>
    <row r="103">
      <c r="A103" s="28" t="s">
        <v>152</v>
      </c>
      <c r="B103" s="29" t="s">
        <v>46</v>
      </c>
      <c r="C103" s="59" t="s">
        <v>160</v>
      </c>
      <c r="D103" s="31">
        <f t="shared" si="5"/>
        <v>16</v>
      </c>
      <c r="E103" s="32">
        <f t="shared" si="6"/>
        <v>26</v>
      </c>
      <c r="F103" s="33">
        <f t="shared" si="7"/>
        <v>41</v>
      </c>
      <c r="G103" s="34">
        <v>11.0</v>
      </c>
      <c r="H103" s="28">
        <v>2025.0</v>
      </c>
      <c r="I103" s="35">
        <f t="shared" si="4"/>
        <v>2</v>
      </c>
      <c r="J103" s="36" t="s">
        <v>48</v>
      </c>
      <c r="K103" s="40"/>
      <c r="L103" s="40"/>
      <c r="M103" s="41"/>
    </row>
    <row r="104">
      <c r="A104" s="28" t="s">
        <v>152</v>
      </c>
      <c r="B104" s="42" t="s">
        <v>55</v>
      </c>
      <c r="C104" s="59" t="s">
        <v>161</v>
      </c>
      <c r="D104" s="31">
        <f t="shared" si="5"/>
        <v>15</v>
      </c>
      <c r="E104" s="32">
        <f t="shared" si="6"/>
        <v>25</v>
      </c>
      <c r="F104" s="33">
        <f t="shared" si="7"/>
        <v>40</v>
      </c>
      <c r="G104" s="43">
        <v>10.0</v>
      </c>
      <c r="H104" s="28">
        <v>2025.0</v>
      </c>
      <c r="I104" s="35">
        <f t="shared" si="4"/>
        <v>2</v>
      </c>
      <c r="J104" s="36" t="s">
        <v>48</v>
      </c>
      <c r="K104" s="40"/>
      <c r="L104" s="40"/>
      <c r="M104" s="41"/>
    </row>
    <row r="105">
      <c r="A105" s="28" t="s">
        <v>152</v>
      </c>
      <c r="B105" s="29" t="s">
        <v>51</v>
      </c>
      <c r="C105" s="59" t="s">
        <v>162</v>
      </c>
      <c r="D105" s="31">
        <f t="shared" si="5"/>
        <v>15</v>
      </c>
      <c r="E105" s="32">
        <f t="shared" si="6"/>
        <v>25</v>
      </c>
      <c r="F105" s="33">
        <f t="shared" si="7"/>
        <v>40</v>
      </c>
      <c r="G105" s="34">
        <v>10.0</v>
      </c>
      <c r="H105" s="28">
        <v>2025.0</v>
      </c>
      <c r="I105" s="35">
        <f t="shared" si="4"/>
        <v>2</v>
      </c>
      <c r="J105" s="36" t="s">
        <v>48</v>
      </c>
      <c r="K105" s="40"/>
      <c r="L105" s="40"/>
      <c r="M105" s="41"/>
    </row>
    <row r="106">
      <c r="A106" s="28" t="s">
        <v>152</v>
      </c>
      <c r="B106" s="66" t="s">
        <v>46</v>
      </c>
      <c r="C106" s="59" t="s">
        <v>163</v>
      </c>
      <c r="D106" s="31">
        <f t="shared" si="5"/>
        <v>10</v>
      </c>
      <c r="E106" s="32">
        <f t="shared" si="6"/>
        <v>20</v>
      </c>
      <c r="F106" s="33">
        <f t="shared" si="7"/>
        <v>35</v>
      </c>
      <c r="G106" s="43">
        <v>5.0</v>
      </c>
      <c r="H106" s="28">
        <v>2025.0</v>
      </c>
      <c r="I106" s="35">
        <f t="shared" si="4"/>
        <v>2</v>
      </c>
      <c r="J106" s="39" t="s">
        <v>48</v>
      </c>
      <c r="K106" s="40"/>
      <c r="L106" s="40"/>
      <c r="M106" s="41"/>
    </row>
    <row r="107">
      <c r="A107" s="28" t="s">
        <v>152</v>
      </c>
      <c r="B107" s="29" t="s">
        <v>46</v>
      </c>
      <c r="C107" s="59" t="s">
        <v>164</v>
      </c>
      <c r="D107" s="31">
        <f t="shared" si="5"/>
        <v>9</v>
      </c>
      <c r="E107" s="32">
        <f t="shared" si="6"/>
        <v>19</v>
      </c>
      <c r="F107" s="33">
        <f t="shared" si="7"/>
        <v>34</v>
      </c>
      <c r="G107" s="34">
        <v>4.0</v>
      </c>
      <c r="H107" s="28">
        <v>2025.0</v>
      </c>
      <c r="I107" s="35">
        <f t="shared" si="4"/>
        <v>2</v>
      </c>
      <c r="J107" s="36" t="s">
        <v>48</v>
      </c>
      <c r="K107" s="40"/>
      <c r="L107" s="40"/>
      <c r="M107" s="41"/>
    </row>
    <row r="108">
      <c r="A108" s="28" t="s">
        <v>152</v>
      </c>
      <c r="B108" s="42" t="s">
        <v>46</v>
      </c>
      <c r="C108" s="59" t="s">
        <v>165</v>
      </c>
      <c r="D108" s="31">
        <f t="shared" si="5"/>
        <v>6</v>
      </c>
      <c r="E108" s="32">
        <f t="shared" si="6"/>
        <v>16</v>
      </c>
      <c r="F108" s="33">
        <f t="shared" si="7"/>
        <v>31</v>
      </c>
      <c r="G108" s="43">
        <v>1.0</v>
      </c>
      <c r="H108" s="28">
        <v>2025.0</v>
      </c>
      <c r="I108" s="35">
        <f t="shared" si="4"/>
        <v>2</v>
      </c>
      <c r="J108" s="36" t="s">
        <v>48</v>
      </c>
      <c r="K108" s="40"/>
      <c r="L108" s="40"/>
      <c r="M108" s="41"/>
    </row>
    <row r="109">
      <c r="A109" s="28" t="s">
        <v>152</v>
      </c>
      <c r="B109" s="42" t="s">
        <v>55</v>
      </c>
      <c r="C109" s="59" t="s">
        <v>166</v>
      </c>
      <c r="D109" s="31">
        <f t="shared" si="5"/>
        <v>6</v>
      </c>
      <c r="E109" s="32">
        <f t="shared" si="6"/>
        <v>16</v>
      </c>
      <c r="F109" s="33">
        <f t="shared" si="7"/>
        <v>31</v>
      </c>
      <c r="G109" s="43">
        <v>1.0</v>
      </c>
      <c r="H109" s="28">
        <v>2025.0</v>
      </c>
      <c r="I109" s="35">
        <f t="shared" si="4"/>
        <v>2</v>
      </c>
      <c r="J109" s="36" t="s">
        <v>48</v>
      </c>
      <c r="K109" s="40"/>
      <c r="L109" s="40"/>
      <c r="M109" s="41"/>
    </row>
    <row r="110">
      <c r="A110" s="42" t="s">
        <v>152</v>
      </c>
      <c r="B110" s="66" t="s">
        <v>46</v>
      </c>
      <c r="C110" s="59" t="s">
        <v>167</v>
      </c>
      <c r="D110" s="31">
        <f t="shared" si="5"/>
        <v>6</v>
      </c>
      <c r="E110" s="32">
        <f t="shared" si="6"/>
        <v>16</v>
      </c>
      <c r="F110" s="33">
        <f t="shared" si="7"/>
        <v>31</v>
      </c>
      <c r="G110" s="43">
        <v>1.0</v>
      </c>
      <c r="H110" s="42">
        <v>2025.0</v>
      </c>
      <c r="I110" s="35">
        <f t="shared" si="4"/>
        <v>2</v>
      </c>
      <c r="J110" s="51" t="s">
        <v>48</v>
      </c>
      <c r="K110" s="40"/>
      <c r="L110" s="40"/>
      <c r="M110" s="41"/>
    </row>
    <row r="111">
      <c r="A111" s="28" t="s">
        <v>152</v>
      </c>
      <c r="B111" s="74" t="s">
        <v>51</v>
      </c>
      <c r="C111" s="58" t="s">
        <v>168</v>
      </c>
      <c r="D111" s="31">
        <f t="shared" si="5"/>
        <v>7</v>
      </c>
      <c r="E111" s="32">
        <f t="shared" si="6"/>
        <v>17</v>
      </c>
      <c r="F111" s="33">
        <f t="shared" si="7"/>
        <v>32</v>
      </c>
      <c r="G111" s="43">
        <v>2.0</v>
      </c>
      <c r="H111" s="42">
        <v>2025.0</v>
      </c>
      <c r="I111" s="35">
        <f t="shared" si="4"/>
        <v>2</v>
      </c>
      <c r="J111" s="39" t="s">
        <v>64</v>
      </c>
      <c r="K111" s="53"/>
      <c r="L111" s="53"/>
      <c r="M111" s="54"/>
    </row>
    <row r="112">
      <c r="A112" s="28" t="s">
        <v>152</v>
      </c>
      <c r="B112" s="28" t="s">
        <v>51</v>
      </c>
      <c r="C112" s="58" t="s">
        <v>169</v>
      </c>
      <c r="D112" s="31">
        <f t="shared" si="5"/>
        <v>7</v>
      </c>
      <c r="E112" s="32">
        <f t="shared" si="6"/>
        <v>17</v>
      </c>
      <c r="F112" s="33">
        <f t="shared" si="7"/>
        <v>32</v>
      </c>
      <c r="G112" s="34">
        <v>2.0</v>
      </c>
      <c r="H112" s="28">
        <v>2025.0</v>
      </c>
      <c r="I112" s="35">
        <f t="shared" si="4"/>
        <v>2</v>
      </c>
      <c r="J112" s="39" t="s">
        <v>64</v>
      </c>
      <c r="K112" s="40"/>
      <c r="L112" s="40"/>
      <c r="M112" s="41"/>
    </row>
    <row r="113">
      <c r="A113" s="28" t="s">
        <v>152</v>
      </c>
      <c r="B113" s="28" t="s">
        <v>60</v>
      </c>
      <c r="C113" s="58" t="s">
        <v>170</v>
      </c>
      <c r="D113" s="31">
        <f t="shared" si="5"/>
        <v>7</v>
      </c>
      <c r="E113" s="32">
        <f t="shared" si="6"/>
        <v>17</v>
      </c>
      <c r="F113" s="33">
        <f t="shared" si="7"/>
        <v>32</v>
      </c>
      <c r="G113" s="43">
        <v>2.0</v>
      </c>
      <c r="H113" s="42">
        <v>2025.0</v>
      </c>
      <c r="I113" s="35">
        <f t="shared" si="4"/>
        <v>2</v>
      </c>
      <c r="J113" s="39" t="s">
        <v>64</v>
      </c>
      <c r="K113" s="40"/>
      <c r="L113" s="40"/>
      <c r="M113" s="41"/>
    </row>
    <row r="114">
      <c r="A114" s="28" t="s">
        <v>152</v>
      </c>
      <c r="B114" s="29" t="s">
        <v>51</v>
      </c>
      <c r="C114" s="58" t="s">
        <v>171</v>
      </c>
      <c r="D114" s="31">
        <f t="shared" si="5"/>
        <v>7</v>
      </c>
      <c r="E114" s="32">
        <f t="shared" si="6"/>
        <v>17</v>
      </c>
      <c r="F114" s="33">
        <f t="shared" si="7"/>
        <v>32</v>
      </c>
      <c r="G114" s="43">
        <v>2.0</v>
      </c>
      <c r="H114" s="42">
        <v>2025.0</v>
      </c>
      <c r="I114" s="35">
        <f t="shared" si="4"/>
        <v>2</v>
      </c>
      <c r="J114" s="39" t="s">
        <v>64</v>
      </c>
      <c r="K114" s="40"/>
      <c r="L114" s="40"/>
      <c r="M114" s="41"/>
    </row>
    <row r="115">
      <c r="A115" s="28" t="s">
        <v>152</v>
      </c>
      <c r="B115" s="28" t="s">
        <v>46</v>
      </c>
      <c r="C115" s="58" t="s">
        <v>172</v>
      </c>
      <c r="D115" s="31">
        <f t="shared" si="5"/>
        <v>7</v>
      </c>
      <c r="E115" s="32">
        <f t="shared" si="6"/>
        <v>17</v>
      </c>
      <c r="F115" s="33">
        <f t="shared" si="7"/>
        <v>32</v>
      </c>
      <c r="G115" s="43">
        <v>2.0</v>
      </c>
      <c r="H115" s="42">
        <v>2025.0</v>
      </c>
      <c r="I115" s="35">
        <f t="shared" si="4"/>
        <v>2</v>
      </c>
      <c r="J115" s="39" t="s">
        <v>64</v>
      </c>
      <c r="K115" s="40"/>
      <c r="L115" s="40"/>
      <c r="M115" s="41"/>
    </row>
    <row r="116">
      <c r="A116" s="28" t="s">
        <v>152</v>
      </c>
      <c r="B116" s="29" t="s">
        <v>51</v>
      </c>
      <c r="C116" s="58" t="s">
        <v>173</v>
      </c>
      <c r="D116" s="31">
        <f t="shared" si="5"/>
        <v>7</v>
      </c>
      <c r="E116" s="32">
        <f t="shared" si="6"/>
        <v>17</v>
      </c>
      <c r="F116" s="33">
        <f t="shared" si="7"/>
        <v>32</v>
      </c>
      <c r="G116" s="43">
        <v>2.0</v>
      </c>
      <c r="H116" s="42">
        <v>2025.0</v>
      </c>
      <c r="I116" s="35">
        <f t="shared" si="4"/>
        <v>2</v>
      </c>
      <c r="J116" s="39" t="s">
        <v>64</v>
      </c>
      <c r="K116" s="40"/>
      <c r="L116" s="40"/>
      <c r="M116" s="41"/>
    </row>
    <row r="117">
      <c r="A117" s="42" t="s">
        <v>174</v>
      </c>
      <c r="B117" s="42" t="s">
        <v>46</v>
      </c>
      <c r="C117" s="71" t="s">
        <v>175</v>
      </c>
      <c r="D117" s="31">
        <f t="shared" si="5"/>
        <v>19</v>
      </c>
      <c r="E117" s="32">
        <f t="shared" si="6"/>
        <v>29</v>
      </c>
      <c r="F117" s="33">
        <f t="shared" si="7"/>
        <v>44</v>
      </c>
      <c r="G117" s="43">
        <v>14.0</v>
      </c>
      <c r="H117" s="42">
        <v>2025.0</v>
      </c>
      <c r="I117" s="35">
        <f t="shared" si="4"/>
        <v>2</v>
      </c>
      <c r="J117" s="36" t="s">
        <v>48</v>
      </c>
      <c r="K117" s="40"/>
      <c r="L117" s="40"/>
      <c r="M117" s="41"/>
    </row>
    <row r="118">
      <c r="A118" s="55" t="s">
        <v>174</v>
      </c>
      <c r="B118" s="56" t="s">
        <v>57</v>
      </c>
      <c r="C118" s="77" t="s">
        <v>72</v>
      </c>
      <c r="D118" s="31">
        <f t="shared" si="5"/>
        <v>2</v>
      </c>
      <c r="E118" s="32">
        <f t="shared" si="6"/>
        <v>7</v>
      </c>
      <c r="F118" s="33">
        <f t="shared" si="7"/>
        <v>17</v>
      </c>
      <c r="G118" s="57">
        <v>2.0</v>
      </c>
      <c r="H118" s="46">
        <v>2026.0</v>
      </c>
      <c r="I118" s="35">
        <f t="shared" si="4"/>
        <v>1</v>
      </c>
      <c r="J118" s="46" t="s">
        <v>57</v>
      </c>
      <c r="K118" s="40">
        <v>1.0</v>
      </c>
      <c r="L118" s="40">
        <v>2026.0</v>
      </c>
      <c r="M118" s="41" t="s">
        <v>176</v>
      </c>
    </row>
    <row r="119">
      <c r="A119" s="78" t="s">
        <v>174</v>
      </c>
      <c r="B119" s="56" t="s">
        <v>57</v>
      </c>
      <c r="C119" s="77" t="s">
        <v>74</v>
      </c>
      <c r="D119" s="31">
        <f t="shared" si="5"/>
        <v>1</v>
      </c>
      <c r="E119" s="32">
        <f t="shared" si="6"/>
        <v>6</v>
      </c>
      <c r="F119" s="33">
        <f t="shared" si="7"/>
        <v>16</v>
      </c>
      <c r="G119" s="57">
        <v>1.0</v>
      </c>
      <c r="H119" s="46">
        <v>2026.0</v>
      </c>
      <c r="I119" s="35">
        <f t="shared" si="4"/>
        <v>1</v>
      </c>
      <c r="J119" s="46" t="s">
        <v>57</v>
      </c>
      <c r="K119" s="40">
        <v>2.0</v>
      </c>
      <c r="L119" s="40">
        <v>2026.0</v>
      </c>
      <c r="M119" s="41"/>
    </row>
    <row r="120">
      <c r="A120" s="42" t="s">
        <v>174</v>
      </c>
      <c r="B120" s="44" t="s">
        <v>51</v>
      </c>
      <c r="C120" s="58" t="s">
        <v>177</v>
      </c>
      <c r="D120" s="31">
        <f t="shared" si="5"/>
        <v>7</v>
      </c>
      <c r="E120" s="32">
        <f t="shared" si="6"/>
        <v>17</v>
      </c>
      <c r="F120" s="33">
        <f t="shared" si="7"/>
        <v>32</v>
      </c>
      <c r="G120" s="43">
        <v>2.0</v>
      </c>
      <c r="H120" s="42">
        <v>2025.0</v>
      </c>
      <c r="I120" s="35">
        <f t="shared" si="4"/>
        <v>2</v>
      </c>
      <c r="J120" s="39" t="s">
        <v>64</v>
      </c>
      <c r="K120" s="40"/>
      <c r="L120" s="40"/>
      <c r="M120" s="41"/>
    </row>
    <row r="121">
      <c r="A121" s="28" t="s">
        <v>174</v>
      </c>
      <c r="B121" s="44" t="s">
        <v>55</v>
      </c>
      <c r="C121" s="58" t="s">
        <v>178</v>
      </c>
      <c r="D121" s="31">
        <f t="shared" si="5"/>
        <v>19</v>
      </c>
      <c r="E121" s="32">
        <f t="shared" si="6"/>
        <v>34</v>
      </c>
      <c r="F121" s="33">
        <f t="shared" si="7"/>
        <v>54</v>
      </c>
      <c r="G121" s="65">
        <v>4.0</v>
      </c>
      <c r="H121" s="35">
        <v>2024.0</v>
      </c>
      <c r="I121" s="35">
        <f t="shared" si="4"/>
        <v>3</v>
      </c>
      <c r="J121" s="45" t="s">
        <v>48</v>
      </c>
      <c r="K121" s="53"/>
      <c r="L121" s="53"/>
      <c r="M121" s="54"/>
    </row>
    <row r="122">
      <c r="A122" s="29" t="s">
        <v>174</v>
      </c>
      <c r="B122" s="28" t="s">
        <v>55</v>
      </c>
      <c r="C122" s="58" t="s">
        <v>179</v>
      </c>
      <c r="D122" s="31">
        <f t="shared" si="5"/>
        <v>17</v>
      </c>
      <c r="E122" s="32">
        <f t="shared" si="6"/>
        <v>32</v>
      </c>
      <c r="F122" s="33">
        <f t="shared" si="7"/>
        <v>52</v>
      </c>
      <c r="G122" s="34">
        <v>2.0</v>
      </c>
      <c r="H122" s="28">
        <v>2024.0</v>
      </c>
      <c r="I122" s="35">
        <f t="shared" si="4"/>
        <v>3</v>
      </c>
      <c r="J122" s="39" t="s">
        <v>19</v>
      </c>
      <c r="K122" s="40">
        <v>1.0</v>
      </c>
      <c r="L122" s="40">
        <v>2024.0</v>
      </c>
      <c r="M122" s="41"/>
    </row>
    <row r="123" hidden="1">
      <c r="A123" s="42"/>
      <c r="B123" s="42" t="s">
        <v>60</v>
      </c>
      <c r="C123" s="72" t="s">
        <v>180</v>
      </c>
      <c r="D123" s="31">
        <f t="shared" si="5"/>
        <v>21</v>
      </c>
      <c r="E123" s="32">
        <f t="shared" si="6"/>
        <v>36</v>
      </c>
      <c r="F123" s="33">
        <f t="shared" si="7"/>
        <v>56</v>
      </c>
      <c r="G123" s="43">
        <v>6.0</v>
      </c>
      <c r="H123" s="44">
        <v>2024.0</v>
      </c>
      <c r="I123" s="35">
        <f t="shared" si="4"/>
        <v>3</v>
      </c>
      <c r="J123" s="45" t="s">
        <v>48</v>
      </c>
      <c r="K123" s="48"/>
      <c r="L123" s="48"/>
      <c r="M123" s="49"/>
    </row>
    <row r="124">
      <c r="A124" s="28" t="s">
        <v>174</v>
      </c>
      <c r="B124" s="29" t="s">
        <v>60</v>
      </c>
      <c r="C124" s="58" t="s">
        <v>181</v>
      </c>
      <c r="D124" s="31">
        <f t="shared" si="5"/>
        <v>35</v>
      </c>
      <c r="E124" s="32">
        <f t="shared" si="6"/>
        <v>55</v>
      </c>
      <c r="F124" s="33">
        <f t="shared" si="7"/>
        <v>80</v>
      </c>
      <c r="G124" s="60">
        <v>5.0</v>
      </c>
      <c r="H124" s="29">
        <v>2023.0</v>
      </c>
      <c r="I124" s="35">
        <f t="shared" si="4"/>
        <v>4</v>
      </c>
      <c r="J124" s="36" t="s">
        <v>48</v>
      </c>
      <c r="K124" s="40"/>
      <c r="L124" s="40"/>
      <c r="M124" s="41"/>
    </row>
    <row r="125">
      <c r="A125" s="28" t="s">
        <v>174</v>
      </c>
      <c r="B125" s="28" t="s">
        <v>46</v>
      </c>
      <c r="C125" s="58" t="s">
        <v>182</v>
      </c>
      <c r="D125" s="31">
        <f t="shared" si="5"/>
        <v>17</v>
      </c>
      <c r="E125" s="32">
        <f t="shared" si="6"/>
        <v>32</v>
      </c>
      <c r="F125" s="33">
        <f t="shared" si="7"/>
        <v>52</v>
      </c>
      <c r="G125" s="34">
        <v>2.0</v>
      </c>
      <c r="H125" s="28">
        <v>2024.0</v>
      </c>
      <c r="I125" s="35">
        <f t="shared" si="4"/>
        <v>3</v>
      </c>
      <c r="J125" s="39" t="s">
        <v>19</v>
      </c>
      <c r="K125" s="40">
        <v>1.0</v>
      </c>
      <c r="L125" s="40">
        <v>2024.0</v>
      </c>
      <c r="M125" s="41"/>
    </row>
    <row r="126">
      <c r="A126" s="42" t="s">
        <v>174</v>
      </c>
      <c r="B126" s="42" t="s">
        <v>46</v>
      </c>
      <c r="C126" s="58" t="s">
        <v>183</v>
      </c>
      <c r="D126" s="31">
        <f t="shared" si="5"/>
        <v>30</v>
      </c>
      <c r="E126" s="32">
        <f t="shared" si="6"/>
        <v>45</v>
      </c>
      <c r="F126" s="33">
        <f t="shared" si="7"/>
        <v>65</v>
      </c>
      <c r="G126" s="43">
        <v>15.0</v>
      </c>
      <c r="H126" s="44">
        <v>2024.0</v>
      </c>
      <c r="I126" s="35">
        <f t="shared" si="4"/>
        <v>3</v>
      </c>
      <c r="J126" s="45" t="s">
        <v>48</v>
      </c>
      <c r="K126" s="40"/>
      <c r="L126" s="40"/>
      <c r="M126" s="41"/>
    </row>
    <row r="127">
      <c r="A127" s="28" t="s">
        <v>174</v>
      </c>
      <c r="B127" s="29" t="s">
        <v>51</v>
      </c>
      <c r="C127" s="58" t="s">
        <v>184</v>
      </c>
      <c r="D127" s="31">
        <f t="shared" si="5"/>
        <v>24</v>
      </c>
      <c r="E127" s="32">
        <f t="shared" si="6"/>
        <v>34</v>
      </c>
      <c r="F127" s="33">
        <f t="shared" si="7"/>
        <v>49</v>
      </c>
      <c r="G127" s="34">
        <v>19.0</v>
      </c>
      <c r="H127" s="28">
        <v>2025.0</v>
      </c>
      <c r="I127" s="35">
        <f t="shared" si="4"/>
        <v>2</v>
      </c>
      <c r="J127" s="39" t="s">
        <v>48</v>
      </c>
      <c r="K127" s="40"/>
      <c r="L127" s="40"/>
      <c r="M127" s="41"/>
    </row>
    <row r="128">
      <c r="A128" s="42" t="s">
        <v>174</v>
      </c>
      <c r="B128" s="29" t="s">
        <v>51</v>
      </c>
      <c r="C128" s="58" t="s">
        <v>185</v>
      </c>
      <c r="D128" s="31">
        <f t="shared" si="5"/>
        <v>7</v>
      </c>
      <c r="E128" s="32">
        <f t="shared" si="6"/>
        <v>17</v>
      </c>
      <c r="F128" s="33">
        <f t="shared" si="7"/>
        <v>32</v>
      </c>
      <c r="G128" s="34">
        <v>2.0</v>
      </c>
      <c r="H128" s="42">
        <v>2025.0</v>
      </c>
      <c r="I128" s="35">
        <f t="shared" si="4"/>
        <v>2</v>
      </c>
      <c r="J128" s="51" t="s">
        <v>48</v>
      </c>
      <c r="K128" s="40"/>
      <c r="L128" s="40"/>
      <c r="M128" s="41"/>
    </row>
    <row r="129">
      <c r="A129" s="28" t="s">
        <v>174</v>
      </c>
      <c r="B129" s="50" t="s">
        <v>60</v>
      </c>
      <c r="C129" s="59" t="s">
        <v>186</v>
      </c>
      <c r="D129" s="31">
        <f t="shared" si="5"/>
        <v>6</v>
      </c>
      <c r="E129" s="32">
        <f t="shared" si="6"/>
        <v>16</v>
      </c>
      <c r="F129" s="33">
        <f t="shared" si="7"/>
        <v>31</v>
      </c>
      <c r="G129" s="34">
        <v>1.0</v>
      </c>
      <c r="H129" s="28">
        <v>2025.0</v>
      </c>
      <c r="I129" s="35">
        <f t="shared" si="4"/>
        <v>2</v>
      </c>
      <c r="J129" s="39" t="s">
        <v>48</v>
      </c>
      <c r="K129" s="40"/>
      <c r="L129" s="40"/>
      <c r="M129" s="41"/>
    </row>
    <row r="130">
      <c r="A130" s="28" t="s">
        <v>174</v>
      </c>
      <c r="B130" s="29" t="s">
        <v>46</v>
      </c>
      <c r="C130" s="59" t="s">
        <v>187</v>
      </c>
      <c r="D130" s="31">
        <f t="shared" si="5"/>
        <v>24</v>
      </c>
      <c r="E130" s="32">
        <f t="shared" si="6"/>
        <v>34</v>
      </c>
      <c r="F130" s="33">
        <f t="shared" si="7"/>
        <v>49</v>
      </c>
      <c r="G130" s="34">
        <v>19.0</v>
      </c>
      <c r="H130" s="28">
        <v>2025.0</v>
      </c>
      <c r="I130" s="35">
        <f t="shared" si="4"/>
        <v>2</v>
      </c>
      <c r="J130" s="39" t="s">
        <v>48</v>
      </c>
      <c r="K130" s="40"/>
      <c r="L130" s="40"/>
      <c r="M130" s="41"/>
    </row>
    <row r="131" hidden="1">
      <c r="A131" s="76"/>
      <c r="B131" s="79" t="s">
        <v>46</v>
      </c>
      <c r="C131" s="58" t="s">
        <v>188</v>
      </c>
      <c r="D131" s="31">
        <f t="shared" si="5"/>
        <v>7</v>
      </c>
      <c r="E131" s="32">
        <f t="shared" si="6"/>
        <v>17</v>
      </c>
      <c r="F131" s="33">
        <f t="shared" si="7"/>
        <v>32</v>
      </c>
      <c r="G131" s="34">
        <v>2.0</v>
      </c>
      <c r="H131" s="42">
        <v>2025.0</v>
      </c>
      <c r="I131" s="35">
        <f t="shared" si="4"/>
        <v>2</v>
      </c>
      <c r="J131" s="36" t="s">
        <v>48</v>
      </c>
      <c r="K131" s="40"/>
      <c r="L131" s="40"/>
      <c r="M131" s="41"/>
    </row>
    <row r="132">
      <c r="A132" s="28" t="s">
        <v>174</v>
      </c>
      <c r="B132" s="29" t="s">
        <v>46</v>
      </c>
      <c r="C132" s="58" t="s">
        <v>189</v>
      </c>
      <c r="D132" s="31">
        <f t="shared" si="5"/>
        <v>17</v>
      </c>
      <c r="E132" s="32">
        <f t="shared" si="6"/>
        <v>27</v>
      </c>
      <c r="F132" s="33">
        <f t="shared" si="7"/>
        <v>42</v>
      </c>
      <c r="G132" s="34">
        <v>12.0</v>
      </c>
      <c r="H132" s="28">
        <v>2025.0</v>
      </c>
      <c r="I132" s="35">
        <f t="shared" si="4"/>
        <v>2</v>
      </c>
      <c r="J132" s="45" t="s">
        <v>48</v>
      </c>
      <c r="K132" s="40"/>
      <c r="L132" s="40"/>
      <c r="M132" s="41"/>
    </row>
    <row r="133">
      <c r="A133" s="42" t="s">
        <v>174</v>
      </c>
      <c r="B133" s="42" t="s">
        <v>46</v>
      </c>
      <c r="C133" s="58" t="s">
        <v>190</v>
      </c>
      <c r="D133" s="31">
        <f t="shared" si="5"/>
        <v>7</v>
      </c>
      <c r="E133" s="32">
        <f t="shared" si="6"/>
        <v>17</v>
      </c>
      <c r="F133" s="33">
        <f t="shared" si="7"/>
        <v>32</v>
      </c>
      <c r="G133" s="43">
        <v>2.0</v>
      </c>
      <c r="H133" s="42">
        <v>2025.0</v>
      </c>
      <c r="I133" s="35">
        <f t="shared" si="4"/>
        <v>2</v>
      </c>
      <c r="J133" s="51" t="s">
        <v>48</v>
      </c>
      <c r="K133" s="40"/>
      <c r="L133" s="40"/>
      <c r="M133" s="41"/>
    </row>
    <row r="134">
      <c r="A134" s="28" t="s">
        <v>174</v>
      </c>
      <c r="B134" s="28" t="s">
        <v>51</v>
      </c>
      <c r="C134" s="58" t="s">
        <v>191</v>
      </c>
      <c r="D134" s="31">
        <f t="shared" si="5"/>
        <v>7</v>
      </c>
      <c r="E134" s="32">
        <f t="shared" si="6"/>
        <v>17</v>
      </c>
      <c r="F134" s="33">
        <f t="shared" si="7"/>
        <v>32</v>
      </c>
      <c r="G134" s="43">
        <v>2.0</v>
      </c>
      <c r="H134" s="42">
        <v>2025.0</v>
      </c>
      <c r="I134" s="35">
        <f t="shared" si="4"/>
        <v>2</v>
      </c>
      <c r="J134" s="39" t="s">
        <v>64</v>
      </c>
      <c r="K134" s="40"/>
      <c r="L134" s="40"/>
      <c r="M134" s="41"/>
    </row>
    <row r="135">
      <c r="A135" s="28" t="s">
        <v>174</v>
      </c>
      <c r="B135" s="28" t="s">
        <v>51</v>
      </c>
      <c r="C135" s="58" t="s">
        <v>192</v>
      </c>
      <c r="D135" s="31">
        <f t="shared" si="5"/>
        <v>7</v>
      </c>
      <c r="E135" s="32">
        <f t="shared" si="6"/>
        <v>17</v>
      </c>
      <c r="F135" s="33">
        <f t="shared" si="7"/>
        <v>32</v>
      </c>
      <c r="G135" s="43">
        <v>2.0</v>
      </c>
      <c r="H135" s="42">
        <v>2025.0</v>
      </c>
      <c r="I135" s="35">
        <f t="shared" si="4"/>
        <v>2</v>
      </c>
      <c r="J135" s="39" t="s">
        <v>64</v>
      </c>
      <c r="K135" s="40"/>
      <c r="L135" s="40"/>
      <c r="M135" s="41"/>
    </row>
    <row r="136">
      <c r="A136" s="28" t="s">
        <v>174</v>
      </c>
      <c r="B136" s="28" t="s">
        <v>46</v>
      </c>
      <c r="C136" s="58" t="s">
        <v>193</v>
      </c>
      <c r="D136" s="31">
        <f t="shared" si="5"/>
        <v>7</v>
      </c>
      <c r="E136" s="32">
        <f t="shared" si="6"/>
        <v>17</v>
      </c>
      <c r="F136" s="33">
        <f t="shared" si="7"/>
        <v>32</v>
      </c>
      <c r="G136" s="43">
        <v>2.0</v>
      </c>
      <c r="H136" s="42">
        <v>2025.0</v>
      </c>
      <c r="I136" s="35">
        <f t="shared" si="4"/>
        <v>2</v>
      </c>
      <c r="J136" s="39" t="s">
        <v>64</v>
      </c>
      <c r="K136" s="40"/>
      <c r="L136" s="40"/>
      <c r="M136" s="41"/>
    </row>
    <row r="137">
      <c r="A137" s="76" t="s">
        <v>174</v>
      </c>
      <c r="B137" s="28" t="s">
        <v>51</v>
      </c>
      <c r="C137" s="58" t="s">
        <v>194</v>
      </c>
      <c r="D137" s="31">
        <f t="shared" si="5"/>
        <v>7</v>
      </c>
      <c r="E137" s="32">
        <f t="shared" si="6"/>
        <v>17</v>
      </c>
      <c r="F137" s="33">
        <f t="shared" si="7"/>
        <v>32</v>
      </c>
      <c r="G137" s="43">
        <v>2.0</v>
      </c>
      <c r="H137" s="42">
        <v>2025.0</v>
      </c>
      <c r="I137" s="35">
        <f t="shared" si="4"/>
        <v>2</v>
      </c>
      <c r="J137" s="39" t="s">
        <v>64</v>
      </c>
      <c r="K137" s="40"/>
      <c r="L137" s="40"/>
      <c r="M137" s="41"/>
    </row>
    <row r="138">
      <c r="A138" s="35" t="s">
        <v>174</v>
      </c>
      <c r="B138" s="44" t="s">
        <v>55</v>
      </c>
      <c r="C138" s="58" t="s">
        <v>195</v>
      </c>
      <c r="D138" s="31">
        <f t="shared" si="5"/>
        <v>7</v>
      </c>
      <c r="E138" s="32">
        <f t="shared" si="6"/>
        <v>17</v>
      </c>
      <c r="F138" s="33">
        <f t="shared" si="7"/>
        <v>32</v>
      </c>
      <c r="G138" s="43">
        <v>2.0</v>
      </c>
      <c r="H138" s="42">
        <v>2025.0</v>
      </c>
      <c r="I138" s="35">
        <f t="shared" si="4"/>
        <v>2</v>
      </c>
      <c r="J138" s="39" t="s">
        <v>64</v>
      </c>
      <c r="K138" s="40"/>
      <c r="L138" s="40"/>
      <c r="M138" s="41"/>
    </row>
    <row r="139">
      <c r="A139" s="35" t="s">
        <v>174</v>
      </c>
      <c r="B139" s="44" t="s">
        <v>46</v>
      </c>
      <c r="C139" s="58" t="s">
        <v>196</v>
      </c>
      <c r="D139" s="31">
        <f t="shared" si="5"/>
        <v>7</v>
      </c>
      <c r="E139" s="32">
        <f t="shared" si="6"/>
        <v>17</v>
      </c>
      <c r="F139" s="33">
        <f t="shared" si="7"/>
        <v>32</v>
      </c>
      <c r="G139" s="43">
        <v>2.0</v>
      </c>
      <c r="H139" s="42">
        <v>2025.0</v>
      </c>
      <c r="I139" s="35">
        <f t="shared" si="4"/>
        <v>2</v>
      </c>
      <c r="J139" s="39" t="s">
        <v>64</v>
      </c>
      <c r="K139" s="40"/>
      <c r="L139" s="40"/>
      <c r="M139" s="41"/>
    </row>
    <row r="140">
      <c r="A140" s="35" t="s">
        <v>174</v>
      </c>
      <c r="B140" s="44" t="s">
        <v>51</v>
      </c>
      <c r="C140" s="58" t="s">
        <v>197</v>
      </c>
      <c r="D140" s="31">
        <f t="shared" si="5"/>
        <v>7</v>
      </c>
      <c r="E140" s="32">
        <f t="shared" si="6"/>
        <v>17</v>
      </c>
      <c r="F140" s="33">
        <f t="shared" si="7"/>
        <v>32</v>
      </c>
      <c r="G140" s="43">
        <v>2.0</v>
      </c>
      <c r="H140" s="42">
        <v>2025.0</v>
      </c>
      <c r="I140" s="35">
        <f t="shared" si="4"/>
        <v>2</v>
      </c>
      <c r="J140" s="39" t="s">
        <v>64</v>
      </c>
      <c r="K140" s="40"/>
      <c r="L140" s="40"/>
      <c r="M140" s="41"/>
    </row>
    <row r="141">
      <c r="A141" s="76" t="s">
        <v>174</v>
      </c>
      <c r="B141" s="29" t="s">
        <v>51</v>
      </c>
      <c r="C141" s="72" t="s">
        <v>198</v>
      </c>
      <c r="D141" s="31">
        <f t="shared" si="5"/>
        <v>32</v>
      </c>
      <c r="E141" s="32">
        <f t="shared" si="6"/>
        <v>52</v>
      </c>
      <c r="F141" s="33">
        <f t="shared" si="7"/>
        <v>77</v>
      </c>
      <c r="G141" s="60">
        <v>2.0</v>
      </c>
      <c r="H141" s="29">
        <v>2023.0</v>
      </c>
      <c r="I141" s="35">
        <f t="shared" si="4"/>
        <v>4</v>
      </c>
      <c r="J141" s="36" t="s">
        <v>48</v>
      </c>
      <c r="K141" s="40"/>
      <c r="L141" s="40"/>
      <c r="M141" s="41"/>
    </row>
    <row r="142">
      <c r="A142" s="78" t="s">
        <v>199</v>
      </c>
      <c r="B142" s="56" t="s">
        <v>57</v>
      </c>
      <c r="C142" s="30" t="s">
        <v>72</v>
      </c>
      <c r="D142" s="31">
        <f t="shared" si="5"/>
        <v>2</v>
      </c>
      <c r="E142" s="32">
        <f t="shared" si="6"/>
        <v>7</v>
      </c>
      <c r="F142" s="33">
        <f t="shared" si="7"/>
        <v>17</v>
      </c>
      <c r="G142" s="57">
        <v>2.0</v>
      </c>
      <c r="H142" s="46">
        <v>2026.0</v>
      </c>
      <c r="I142" s="35">
        <f t="shared" si="4"/>
        <v>1</v>
      </c>
      <c r="J142" s="46" t="s">
        <v>57</v>
      </c>
      <c r="K142" s="40">
        <v>1.0</v>
      </c>
      <c r="L142" s="40">
        <v>2026.0</v>
      </c>
      <c r="M142" s="41" t="s">
        <v>200</v>
      </c>
    </row>
    <row r="143">
      <c r="A143" s="55" t="s">
        <v>199</v>
      </c>
      <c r="B143" s="56" t="s">
        <v>57</v>
      </c>
      <c r="C143" s="30" t="s">
        <v>74</v>
      </c>
      <c r="D143" s="31">
        <f t="shared" si="5"/>
        <v>1</v>
      </c>
      <c r="E143" s="32">
        <f t="shared" si="6"/>
        <v>6</v>
      </c>
      <c r="F143" s="33">
        <f t="shared" si="7"/>
        <v>16</v>
      </c>
      <c r="G143" s="57">
        <v>1.0</v>
      </c>
      <c r="H143" s="46">
        <v>2026.0</v>
      </c>
      <c r="I143" s="35">
        <f t="shared" si="4"/>
        <v>1</v>
      </c>
      <c r="J143" s="46" t="s">
        <v>57</v>
      </c>
      <c r="K143" s="40">
        <v>2.0</v>
      </c>
      <c r="L143" s="40">
        <v>2026.0</v>
      </c>
      <c r="M143" s="41"/>
    </row>
    <row r="144">
      <c r="A144" s="76" t="s">
        <v>199</v>
      </c>
      <c r="B144" s="29" t="s">
        <v>46</v>
      </c>
      <c r="C144" s="71" t="s">
        <v>201</v>
      </c>
      <c r="D144" s="31">
        <f t="shared" si="5"/>
        <v>32</v>
      </c>
      <c r="E144" s="32">
        <f t="shared" si="6"/>
        <v>52</v>
      </c>
      <c r="F144" s="33">
        <f t="shared" si="7"/>
        <v>77</v>
      </c>
      <c r="G144" s="60">
        <v>2.0</v>
      </c>
      <c r="H144" s="29">
        <v>2023.0</v>
      </c>
      <c r="I144" s="35">
        <f t="shared" si="4"/>
        <v>4</v>
      </c>
      <c r="J144" s="36" t="s">
        <v>48</v>
      </c>
      <c r="K144" s="40"/>
      <c r="L144" s="40"/>
      <c r="M144" s="41"/>
    </row>
    <row r="145">
      <c r="A145" s="42" t="s">
        <v>199</v>
      </c>
      <c r="B145" s="28" t="s">
        <v>46</v>
      </c>
      <c r="C145" s="71" t="s">
        <v>202</v>
      </c>
      <c r="D145" s="31">
        <f t="shared" si="5"/>
        <v>17</v>
      </c>
      <c r="E145" s="32">
        <f t="shared" si="6"/>
        <v>32</v>
      </c>
      <c r="F145" s="33">
        <f t="shared" si="7"/>
        <v>52</v>
      </c>
      <c r="G145" s="34">
        <v>2.0</v>
      </c>
      <c r="H145" s="28">
        <v>2024.0</v>
      </c>
      <c r="I145" s="35">
        <f t="shared" si="4"/>
        <v>3</v>
      </c>
      <c r="J145" s="39" t="s">
        <v>19</v>
      </c>
      <c r="K145" s="48">
        <v>1.0</v>
      </c>
      <c r="L145" s="48">
        <v>2024.0</v>
      </c>
      <c r="M145" s="49"/>
    </row>
    <row r="146">
      <c r="A146" s="42" t="s">
        <v>199</v>
      </c>
      <c r="B146" s="66" t="s">
        <v>51</v>
      </c>
      <c r="C146" s="71" t="s">
        <v>203</v>
      </c>
      <c r="D146" s="31">
        <f t="shared" si="5"/>
        <v>12</v>
      </c>
      <c r="E146" s="32">
        <f t="shared" si="6"/>
        <v>22</v>
      </c>
      <c r="F146" s="33">
        <f t="shared" si="7"/>
        <v>37</v>
      </c>
      <c r="G146" s="43">
        <v>7.0</v>
      </c>
      <c r="H146" s="42">
        <v>2025.0</v>
      </c>
      <c r="I146" s="35">
        <f t="shared" si="4"/>
        <v>2</v>
      </c>
      <c r="J146" s="36" t="s">
        <v>48</v>
      </c>
      <c r="K146" s="40"/>
      <c r="L146" s="40"/>
      <c r="M146" s="41"/>
    </row>
    <row r="147">
      <c r="A147" s="42" t="s">
        <v>199</v>
      </c>
      <c r="B147" s="29" t="s">
        <v>55</v>
      </c>
      <c r="C147" s="71" t="s">
        <v>204</v>
      </c>
      <c r="D147" s="31">
        <f t="shared" si="5"/>
        <v>11</v>
      </c>
      <c r="E147" s="32">
        <f t="shared" si="6"/>
        <v>21</v>
      </c>
      <c r="F147" s="33">
        <f t="shared" si="7"/>
        <v>36</v>
      </c>
      <c r="G147" s="34">
        <v>6.0</v>
      </c>
      <c r="H147" s="42">
        <v>2025.0</v>
      </c>
      <c r="I147" s="35">
        <f t="shared" si="4"/>
        <v>2</v>
      </c>
      <c r="J147" s="36" t="s">
        <v>48</v>
      </c>
      <c r="K147" s="40"/>
      <c r="L147" s="40"/>
      <c r="M147" s="41"/>
    </row>
    <row r="148">
      <c r="A148" s="76" t="s">
        <v>199</v>
      </c>
      <c r="B148" s="29" t="s">
        <v>46</v>
      </c>
      <c r="C148" s="71" t="s">
        <v>205</v>
      </c>
      <c r="D148" s="31">
        <f t="shared" si="5"/>
        <v>11</v>
      </c>
      <c r="E148" s="32">
        <f t="shared" si="6"/>
        <v>21</v>
      </c>
      <c r="F148" s="33">
        <f t="shared" si="7"/>
        <v>36</v>
      </c>
      <c r="G148" s="34">
        <v>6.0</v>
      </c>
      <c r="H148" s="42">
        <v>2025.0</v>
      </c>
      <c r="I148" s="35">
        <f t="shared" si="4"/>
        <v>2</v>
      </c>
      <c r="J148" s="36" t="s">
        <v>48</v>
      </c>
      <c r="K148" s="40"/>
      <c r="L148" s="40"/>
      <c r="M148" s="41"/>
    </row>
    <row r="149">
      <c r="A149" s="28" t="s">
        <v>199</v>
      </c>
      <c r="B149" s="29" t="s">
        <v>51</v>
      </c>
      <c r="C149" s="71" t="s">
        <v>206</v>
      </c>
      <c r="D149" s="31">
        <f t="shared" si="5"/>
        <v>10</v>
      </c>
      <c r="E149" s="32">
        <f t="shared" si="6"/>
        <v>20</v>
      </c>
      <c r="F149" s="33">
        <f t="shared" si="7"/>
        <v>35</v>
      </c>
      <c r="G149" s="34">
        <v>5.0</v>
      </c>
      <c r="H149" s="42">
        <v>2025.0</v>
      </c>
      <c r="I149" s="35">
        <f t="shared" si="4"/>
        <v>2</v>
      </c>
      <c r="J149" s="36" t="s">
        <v>48</v>
      </c>
      <c r="K149" s="40"/>
      <c r="L149" s="40"/>
      <c r="M149" s="41"/>
    </row>
    <row r="150">
      <c r="A150" s="76" t="s">
        <v>199</v>
      </c>
      <c r="B150" s="35" t="s">
        <v>51</v>
      </c>
      <c r="C150" s="71" t="s">
        <v>207</v>
      </c>
      <c r="D150" s="31">
        <f t="shared" si="5"/>
        <v>8</v>
      </c>
      <c r="E150" s="32">
        <f t="shared" si="6"/>
        <v>18</v>
      </c>
      <c r="F150" s="33">
        <f t="shared" si="7"/>
        <v>33</v>
      </c>
      <c r="G150" s="43">
        <v>3.0</v>
      </c>
      <c r="H150" s="42">
        <v>2025.0</v>
      </c>
      <c r="I150" s="35">
        <f t="shared" si="4"/>
        <v>2</v>
      </c>
      <c r="J150" s="36" t="s">
        <v>48</v>
      </c>
      <c r="K150" s="53"/>
      <c r="L150" s="53"/>
      <c r="M150" s="80"/>
    </row>
    <row r="151">
      <c r="A151" s="76" t="s">
        <v>199</v>
      </c>
      <c r="B151" s="35" t="s">
        <v>51</v>
      </c>
      <c r="C151" s="71" t="s">
        <v>208</v>
      </c>
      <c r="D151" s="31">
        <f t="shared" si="5"/>
        <v>7</v>
      </c>
      <c r="E151" s="32">
        <f t="shared" si="6"/>
        <v>17</v>
      </c>
      <c r="F151" s="33">
        <f t="shared" si="7"/>
        <v>32</v>
      </c>
      <c r="G151" s="43">
        <v>2.0</v>
      </c>
      <c r="H151" s="42">
        <v>2025.0</v>
      </c>
      <c r="I151" s="35">
        <f t="shared" si="4"/>
        <v>2</v>
      </c>
      <c r="J151" s="36" t="s">
        <v>48</v>
      </c>
      <c r="K151" s="53"/>
      <c r="L151" s="53"/>
      <c r="M151" s="80"/>
    </row>
    <row r="152">
      <c r="A152" s="28" t="s">
        <v>199</v>
      </c>
      <c r="B152" s="46" t="s">
        <v>46</v>
      </c>
      <c r="C152" s="71" t="s">
        <v>209</v>
      </c>
      <c r="D152" s="31">
        <f t="shared" si="5"/>
        <v>7</v>
      </c>
      <c r="E152" s="32">
        <f t="shared" si="6"/>
        <v>17</v>
      </c>
      <c r="F152" s="33">
        <f t="shared" si="7"/>
        <v>32</v>
      </c>
      <c r="G152" s="47">
        <v>2.0</v>
      </c>
      <c r="H152" s="42">
        <v>2025.0</v>
      </c>
      <c r="I152" s="35">
        <f t="shared" si="4"/>
        <v>2</v>
      </c>
      <c r="J152" s="46" t="s">
        <v>57</v>
      </c>
      <c r="K152" s="40">
        <v>1.0</v>
      </c>
      <c r="L152" s="40">
        <v>2025.0</v>
      </c>
      <c r="M152" s="41"/>
    </row>
    <row r="153">
      <c r="A153" s="29" t="s">
        <v>199</v>
      </c>
      <c r="B153" s="46" t="s">
        <v>51</v>
      </c>
      <c r="C153" s="71" t="s">
        <v>210</v>
      </c>
      <c r="D153" s="31">
        <f t="shared" si="5"/>
        <v>6</v>
      </c>
      <c r="E153" s="32">
        <f t="shared" si="6"/>
        <v>16</v>
      </c>
      <c r="F153" s="33">
        <f t="shared" si="7"/>
        <v>31</v>
      </c>
      <c r="G153" s="47">
        <v>1.0</v>
      </c>
      <c r="H153" s="42">
        <v>2025.0</v>
      </c>
      <c r="I153" s="35">
        <f t="shared" si="4"/>
        <v>2</v>
      </c>
      <c r="J153" s="46" t="s">
        <v>57</v>
      </c>
      <c r="K153" s="40">
        <v>2.0</v>
      </c>
      <c r="L153" s="40">
        <v>2025.0</v>
      </c>
      <c r="M153" s="41"/>
    </row>
    <row r="154">
      <c r="A154" s="76" t="s">
        <v>199</v>
      </c>
      <c r="B154" s="42" t="s">
        <v>55</v>
      </c>
      <c r="C154" s="71" t="s">
        <v>211</v>
      </c>
      <c r="D154" s="31">
        <f t="shared" si="5"/>
        <v>6</v>
      </c>
      <c r="E154" s="32">
        <f t="shared" si="6"/>
        <v>16</v>
      </c>
      <c r="F154" s="33">
        <f t="shared" si="7"/>
        <v>31</v>
      </c>
      <c r="G154" s="43">
        <v>1.0</v>
      </c>
      <c r="H154" s="42">
        <v>2025.0</v>
      </c>
      <c r="I154" s="35">
        <f t="shared" si="4"/>
        <v>2</v>
      </c>
      <c r="J154" s="36" t="s">
        <v>48</v>
      </c>
      <c r="K154" s="48"/>
      <c r="L154" s="48"/>
      <c r="M154" s="49"/>
    </row>
    <row r="155">
      <c r="A155" s="76" t="s">
        <v>199</v>
      </c>
      <c r="B155" s="66" t="s">
        <v>46</v>
      </c>
      <c r="C155" s="71" t="s">
        <v>212</v>
      </c>
      <c r="D155" s="31">
        <f t="shared" si="5"/>
        <v>6</v>
      </c>
      <c r="E155" s="32">
        <f t="shared" si="6"/>
        <v>16</v>
      </c>
      <c r="F155" s="33">
        <f t="shared" si="7"/>
        <v>31</v>
      </c>
      <c r="G155" s="43">
        <v>1.0</v>
      </c>
      <c r="H155" s="42">
        <v>2025.0</v>
      </c>
      <c r="I155" s="35">
        <f t="shared" si="4"/>
        <v>2</v>
      </c>
      <c r="J155" s="36" t="s">
        <v>48</v>
      </c>
      <c r="K155" s="48"/>
      <c r="L155" s="48"/>
      <c r="M155" s="49"/>
    </row>
    <row r="156">
      <c r="A156" s="28" t="s">
        <v>199</v>
      </c>
      <c r="B156" s="46" t="s">
        <v>51</v>
      </c>
      <c r="C156" s="71" t="s">
        <v>213</v>
      </c>
      <c r="D156" s="31">
        <f t="shared" si="5"/>
        <v>6</v>
      </c>
      <c r="E156" s="32">
        <f t="shared" si="6"/>
        <v>16</v>
      </c>
      <c r="F156" s="33">
        <f t="shared" si="7"/>
        <v>31</v>
      </c>
      <c r="G156" s="47">
        <v>1.0</v>
      </c>
      <c r="H156" s="42">
        <v>2025.0</v>
      </c>
      <c r="I156" s="35">
        <f t="shared" si="4"/>
        <v>2</v>
      </c>
      <c r="J156" s="46" t="s">
        <v>57</v>
      </c>
      <c r="K156" s="40">
        <v>2.0</v>
      </c>
      <c r="L156" s="40">
        <v>2025.0</v>
      </c>
      <c r="M156" s="41"/>
    </row>
    <row r="157">
      <c r="A157" s="28" t="s">
        <v>199</v>
      </c>
      <c r="B157" s="42" t="s">
        <v>55</v>
      </c>
      <c r="C157" s="71" t="s">
        <v>214</v>
      </c>
      <c r="D157" s="31">
        <f t="shared" si="5"/>
        <v>7</v>
      </c>
      <c r="E157" s="32">
        <f t="shared" si="6"/>
        <v>17</v>
      </c>
      <c r="F157" s="33">
        <f t="shared" si="7"/>
        <v>32</v>
      </c>
      <c r="G157" s="43">
        <v>2.0</v>
      </c>
      <c r="H157" s="28">
        <v>2025.0</v>
      </c>
      <c r="I157" s="35">
        <f t="shared" si="4"/>
        <v>2</v>
      </c>
      <c r="J157" s="39" t="s">
        <v>64</v>
      </c>
      <c r="K157" s="40"/>
      <c r="L157" s="40"/>
      <c r="M157" s="41"/>
    </row>
    <row r="158">
      <c r="A158" s="28" t="s">
        <v>199</v>
      </c>
      <c r="B158" s="66" t="s">
        <v>46</v>
      </c>
      <c r="C158" s="72" t="s">
        <v>215</v>
      </c>
      <c r="D158" s="31">
        <f t="shared" si="5"/>
        <v>7</v>
      </c>
      <c r="E158" s="32">
        <f t="shared" si="6"/>
        <v>17</v>
      </c>
      <c r="F158" s="33">
        <f t="shared" si="7"/>
        <v>32</v>
      </c>
      <c r="G158" s="43">
        <v>2.0</v>
      </c>
      <c r="H158" s="28">
        <v>2025.0</v>
      </c>
      <c r="I158" s="35">
        <f t="shared" si="4"/>
        <v>2</v>
      </c>
      <c r="J158" s="39" t="s">
        <v>48</v>
      </c>
      <c r="K158" s="40"/>
      <c r="L158" s="40"/>
      <c r="M158" s="41"/>
    </row>
    <row r="159">
      <c r="A159" s="28" t="s">
        <v>199</v>
      </c>
      <c r="B159" s="42" t="s">
        <v>46</v>
      </c>
      <c r="C159" s="72" t="s">
        <v>216</v>
      </c>
      <c r="D159" s="31">
        <f t="shared" si="5"/>
        <v>7</v>
      </c>
      <c r="E159" s="32">
        <f t="shared" si="6"/>
        <v>17</v>
      </c>
      <c r="F159" s="33">
        <f t="shared" si="7"/>
        <v>32</v>
      </c>
      <c r="G159" s="43">
        <v>2.0</v>
      </c>
      <c r="H159" s="28">
        <v>2025.0</v>
      </c>
      <c r="I159" s="35">
        <f t="shared" si="4"/>
        <v>2</v>
      </c>
      <c r="J159" s="39" t="s">
        <v>64</v>
      </c>
      <c r="K159" s="40"/>
      <c r="L159" s="40"/>
      <c r="M159" s="41"/>
    </row>
    <row r="160">
      <c r="A160" s="28" t="s">
        <v>199</v>
      </c>
      <c r="B160" s="42" t="s">
        <v>55</v>
      </c>
      <c r="C160" s="72" t="s">
        <v>217</v>
      </c>
      <c r="D160" s="31">
        <f t="shared" si="5"/>
        <v>7</v>
      </c>
      <c r="E160" s="32">
        <f t="shared" si="6"/>
        <v>17</v>
      </c>
      <c r="F160" s="33">
        <f t="shared" si="7"/>
        <v>32</v>
      </c>
      <c r="G160" s="43">
        <v>2.0</v>
      </c>
      <c r="H160" s="28">
        <v>2025.0</v>
      </c>
      <c r="I160" s="35">
        <f t="shared" si="4"/>
        <v>2</v>
      </c>
      <c r="J160" s="39" t="s">
        <v>64</v>
      </c>
      <c r="K160" s="40"/>
      <c r="L160" s="40"/>
      <c r="M160" s="41"/>
    </row>
    <row r="161">
      <c r="A161" s="28" t="s">
        <v>199</v>
      </c>
      <c r="B161" s="42" t="s">
        <v>46</v>
      </c>
      <c r="C161" s="71" t="s">
        <v>218</v>
      </c>
      <c r="D161" s="31">
        <f t="shared" si="5"/>
        <v>7</v>
      </c>
      <c r="E161" s="32">
        <f t="shared" si="6"/>
        <v>17</v>
      </c>
      <c r="F161" s="33">
        <f t="shared" si="7"/>
        <v>32</v>
      </c>
      <c r="G161" s="43">
        <v>2.0</v>
      </c>
      <c r="H161" s="28">
        <v>2025.0</v>
      </c>
      <c r="I161" s="35">
        <f t="shared" si="4"/>
        <v>2</v>
      </c>
      <c r="J161" s="39" t="s">
        <v>64</v>
      </c>
      <c r="K161" s="40"/>
      <c r="L161" s="40"/>
      <c r="M161" s="41"/>
    </row>
    <row r="162">
      <c r="A162" s="28" t="s">
        <v>199</v>
      </c>
      <c r="B162" s="42" t="s">
        <v>60</v>
      </c>
      <c r="C162" s="71" t="s">
        <v>219</v>
      </c>
      <c r="D162" s="31">
        <f t="shared" si="5"/>
        <v>7</v>
      </c>
      <c r="E162" s="32">
        <f t="shared" si="6"/>
        <v>17</v>
      </c>
      <c r="F162" s="33">
        <f t="shared" si="7"/>
        <v>32</v>
      </c>
      <c r="G162" s="43">
        <v>2.0</v>
      </c>
      <c r="H162" s="28">
        <v>2025.0</v>
      </c>
      <c r="I162" s="35">
        <f t="shared" si="4"/>
        <v>2</v>
      </c>
      <c r="J162" s="39" t="s">
        <v>48</v>
      </c>
      <c r="K162" s="40"/>
      <c r="L162" s="40"/>
      <c r="M162" s="41"/>
    </row>
    <row r="163" hidden="1">
      <c r="A163" s="28"/>
      <c r="B163" s="74" t="s">
        <v>55</v>
      </c>
      <c r="C163" s="71" t="s">
        <v>220</v>
      </c>
      <c r="D163" s="31">
        <f t="shared" si="5"/>
        <v>65</v>
      </c>
      <c r="E163" s="32">
        <f t="shared" si="6"/>
        <v>80</v>
      </c>
      <c r="F163" s="33">
        <f t="shared" si="7"/>
        <v>100</v>
      </c>
      <c r="G163" s="65">
        <v>50.0</v>
      </c>
      <c r="H163" s="35">
        <v>2024.0</v>
      </c>
      <c r="I163" s="35">
        <f t="shared" si="4"/>
        <v>3</v>
      </c>
      <c r="J163" s="45" t="s">
        <v>48</v>
      </c>
      <c r="K163" s="40"/>
      <c r="L163" s="40"/>
      <c r="M163" s="41"/>
    </row>
    <row r="164">
      <c r="A164" s="55" t="s">
        <v>221</v>
      </c>
      <c r="B164" s="56" t="s">
        <v>57</v>
      </c>
      <c r="C164" s="30" t="s">
        <v>222</v>
      </c>
      <c r="D164" s="31">
        <f t="shared" si="5"/>
        <v>2</v>
      </c>
      <c r="E164" s="32">
        <f t="shared" si="6"/>
        <v>7</v>
      </c>
      <c r="F164" s="33">
        <f t="shared" si="7"/>
        <v>17</v>
      </c>
      <c r="G164" s="57">
        <v>2.0</v>
      </c>
      <c r="H164" s="46">
        <v>2026.0</v>
      </c>
      <c r="I164" s="35">
        <f t="shared" si="4"/>
        <v>1</v>
      </c>
      <c r="J164" s="46" t="s">
        <v>57</v>
      </c>
      <c r="K164" s="40">
        <v>1.0</v>
      </c>
      <c r="L164" s="40">
        <v>2026.0</v>
      </c>
      <c r="M164" s="41" t="s">
        <v>223</v>
      </c>
    </row>
    <row r="165">
      <c r="A165" s="78" t="s">
        <v>221</v>
      </c>
      <c r="B165" s="56" t="s">
        <v>57</v>
      </c>
      <c r="C165" s="30" t="s">
        <v>74</v>
      </c>
      <c r="D165" s="31">
        <f t="shared" si="5"/>
        <v>1</v>
      </c>
      <c r="E165" s="32">
        <f t="shared" si="6"/>
        <v>6</v>
      </c>
      <c r="F165" s="33">
        <f t="shared" si="7"/>
        <v>16</v>
      </c>
      <c r="G165" s="57">
        <v>1.0</v>
      </c>
      <c r="H165" s="46">
        <v>2026.0</v>
      </c>
      <c r="I165" s="35">
        <f t="shared" si="4"/>
        <v>1</v>
      </c>
      <c r="J165" s="46" t="s">
        <v>57</v>
      </c>
      <c r="K165" s="40">
        <v>2.0</v>
      </c>
      <c r="L165" s="40">
        <v>2026.0</v>
      </c>
      <c r="M165" s="41"/>
    </row>
    <row r="166">
      <c r="A166" s="28" t="s">
        <v>221</v>
      </c>
      <c r="B166" s="28" t="s">
        <v>55</v>
      </c>
      <c r="C166" s="58" t="s">
        <v>224</v>
      </c>
      <c r="D166" s="31">
        <f t="shared" si="5"/>
        <v>7</v>
      </c>
      <c r="E166" s="32">
        <f t="shared" si="6"/>
        <v>17</v>
      </c>
      <c r="F166" s="33">
        <f t="shared" si="7"/>
        <v>32</v>
      </c>
      <c r="G166" s="43">
        <v>2.0</v>
      </c>
      <c r="H166" s="42">
        <v>2025.0</v>
      </c>
      <c r="I166" s="35">
        <f t="shared" si="4"/>
        <v>2</v>
      </c>
      <c r="J166" s="39" t="s">
        <v>64</v>
      </c>
      <c r="K166" s="40"/>
      <c r="L166" s="40"/>
      <c r="M166" s="41"/>
    </row>
    <row r="167">
      <c r="A167" s="29" t="s">
        <v>221</v>
      </c>
      <c r="B167" s="50" t="s">
        <v>55</v>
      </c>
      <c r="C167" s="72" t="s">
        <v>225</v>
      </c>
      <c r="D167" s="31">
        <f t="shared" si="5"/>
        <v>40</v>
      </c>
      <c r="E167" s="32">
        <f t="shared" si="6"/>
        <v>60</v>
      </c>
      <c r="F167" s="33">
        <f t="shared" si="7"/>
        <v>85</v>
      </c>
      <c r="G167" s="60">
        <v>10.0</v>
      </c>
      <c r="H167" s="29">
        <v>2023.0</v>
      </c>
      <c r="I167" s="35">
        <f t="shared" si="4"/>
        <v>4</v>
      </c>
      <c r="J167" s="36" t="s">
        <v>48</v>
      </c>
      <c r="K167" s="40"/>
      <c r="L167" s="40"/>
      <c r="M167" s="41"/>
    </row>
    <row r="168">
      <c r="A168" s="42" t="s">
        <v>221</v>
      </c>
      <c r="B168" s="66" t="s">
        <v>55</v>
      </c>
      <c r="C168" s="72" t="s">
        <v>226</v>
      </c>
      <c r="D168" s="31">
        <f t="shared" si="5"/>
        <v>28</v>
      </c>
      <c r="E168" s="32">
        <f t="shared" si="6"/>
        <v>43</v>
      </c>
      <c r="F168" s="33">
        <f t="shared" si="7"/>
        <v>63</v>
      </c>
      <c r="G168" s="43">
        <v>13.0</v>
      </c>
      <c r="H168" s="35">
        <v>2024.0</v>
      </c>
      <c r="I168" s="35">
        <f t="shared" si="4"/>
        <v>3</v>
      </c>
      <c r="J168" s="45" t="s">
        <v>48</v>
      </c>
      <c r="K168" s="40"/>
      <c r="L168" s="40"/>
      <c r="M168" s="41"/>
    </row>
    <row r="169">
      <c r="A169" s="73" t="s">
        <v>221</v>
      </c>
      <c r="B169" s="66" t="s">
        <v>51</v>
      </c>
      <c r="C169" s="72" t="s">
        <v>227</v>
      </c>
      <c r="D169" s="31">
        <f t="shared" si="5"/>
        <v>17</v>
      </c>
      <c r="E169" s="32">
        <f t="shared" si="6"/>
        <v>32</v>
      </c>
      <c r="F169" s="33">
        <f t="shared" si="7"/>
        <v>52</v>
      </c>
      <c r="G169" s="43">
        <v>2.0</v>
      </c>
      <c r="H169" s="35">
        <v>2024.0</v>
      </c>
      <c r="I169" s="35">
        <f t="shared" si="4"/>
        <v>3</v>
      </c>
      <c r="J169" s="45" t="s">
        <v>48</v>
      </c>
      <c r="K169" s="40"/>
      <c r="L169" s="40"/>
      <c r="M169" s="41"/>
    </row>
    <row r="170">
      <c r="A170" s="28" t="s">
        <v>221</v>
      </c>
      <c r="B170" s="28" t="s">
        <v>46</v>
      </c>
      <c r="C170" s="72" t="s">
        <v>228</v>
      </c>
      <c r="D170" s="31">
        <f t="shared" si="5"/>
        <v>17</v>
      </c>
      <c r="E170" s="32">
        <f t="shared" si="6"/>
        <v>32</v>
      </c>
      <c r="F170" s="33">
        <f t="shared" si="7"/>
        <v>52</v>
      </c>
      <c r="G170" s="34">
        <v>2.0</v>
      </c>
      <c r="H170" s="28">
        <v>2024.0</v>
      </c>
      <c r="I170" s="35">
        <f t="shared" si="4"/>
        <v>3</v>
      </c>
      <c r="J170" s="39" t="s">
        <v>19</v>
      </c>
      <c r="K170" s="40">
        <v>1.0</v>
      </c>
      <c r="L170" s="40">
        <v>2024.0</v>
      </c>
      <c r="M170" s="41"/>
    </row>
    <row r="171">
      <c r="A171" s="42" t="s">
        <v>221</v>
      </c>
      <c r="B171" s="66" t="s">
        <v>46</v>
      </c>
      <c r="C171" s="72" t="s">
        <v>229</v>
      </c>
      <c r="D171" s="31">
        <f t="shared" si="5"/>
        <v>16</v>
      </c>
      <c r="E171" s="32">
        <f t="shared" si="6"/>
        <v>31</v>
      </c>
      <c r="F171" s="33">
        <f t="shared" si="7"/>
        <v>51</v>
      </c>
      <c r="G171" s="65">
        <v>1.0</v>
      </c>
      <c r="H171" s="44">
        <v>2024.0</v>
      </c>
      <c r="I171" s="35">
        <f t="shared" si="4"/>
        <v>3</v>
      </c>
      <c r="J171" s="45" t="s">
        <v>48</v>
      </c>
      <c r="K171" s="40"/>
      <c r="L171" s="40"/>
      <c r="M171" s="41"/>
    </row>
    <row r="172">
      <c r="A172" s="29" t="s">
        <v>221</v>
      </c>
      <c r="B172" s="28" t="s">
        <v>60</v>
      </c>
      <c r="C172" s="72" t="s">
        <v>230</v>
      </c>
      <c r="D172" s="31">
        <f t="shared" si="5"/>
        <v>16</v>
      </c>
      <c r="E172" s="32">
        <f t="shared" si="6"/>
        <v>31</v>
      </c>
      <c r="F172" s="33">
        <f t="shared" si="7"/>
        <v>51</v>
      </c>
      <c r="G172" s="34">
        <v>1.0</v>
      </c>
      <c r="H172" s="28">
        <v>2024.0</v>
      </c>
      <c r="I172" s="35">
        <f t="shared" si="4"/>
        <v>3</v>
      </c>
      <c r="J172" s="39" t="s">
        <v>19</v>
      </c>
      <c r="K172" s="40">
        <v>2.0</v>
      </c>
      <c r="L172" s="40">
        <v>2024.0</v>
      </c>
      <c r="M172" s="41"/>
    </row>
    <row r="173">
      <c r="A173" s="42" t="s">
        <v>221</v>
      </c>
      <c r="B173" s="74" t="s">
        <v>46</v>
      </c>
      <c r="C173" s="72" t="s">
        <v>231</v>
      </c>
      <c r="D173" s="31">
        <f t="shared" si="5"/>
        <v>62</v>
      </c>
      <c r="E173" s="32">
        <f t="shared" si="6"/>
        <v>72</v>
      </c>
      <c r="F173" s="33">
        <f t="shared" si="7"/>
        <v>87</v>
      </c>
      <c r="G173" s="43">
        <v>57.0</v>
      </c>
      <c r="H173" s="42">
        <v>2025.0</v>
      </c>
      <c r="I173" s="35">
        <f t="shared" si="4"/>
        <v>2</v>
      </c>
      <c r="J173" s="51" t="s">
        <v>48</v>
      </c>
      <c r="K173" s="40"/>
      <c r="L173" s="40"/>
      <c r="M173" s="41"/>
    </row>
    <row r="174">
      <c r="A174" s="76" t="s">
        <v>221</v>
      </c>
      <c r="B174" s="42" t="s">
        <v>55</v>
      </c>
      <c r="C174" s="72" t="s">
        <v>232</v>
      </c>
      <c r="D174" s="31">
        <f t="shared" si="5"/>
        <v>36</v>
      </c>
      <c r="E174" s="32">
        <f t="shared" si="6"/>
        <v>46</v>
      </c>
      <c r="F174" s="33">
        <f t="shared" si="7"/>
        <v>61</v>
      </c>
      <c r="G174" s="43">
        <v>31.0</v>
      </c>
      <c r="H174" s="42">
        <v>2025.0</v>
      </c>
      <c r="I174" s="35">
        <f t="shared" si="4"/>
        <v>2</v>
      </c>
      <c r="J174" s="36" t="s">
        <v>48</v>
      </c>
      <c r="K174" s="48"/>
      <c r="L174" s="48"/>
      <c r="M174" s="49"/>
    </row>
    <row r="175">
      <c r="A175" s="28" t="s">
        <v>221</v>
      </c>
      <c r="B175" s="29" t="s">
        <v>46</v>
      </c>
      <c r="C175" s="72" t="s">
        <v>233</v>
      </c>
      <c r="D175" s="31">
        <f t="shared" si="5"/>
        <v>11</v>
      </c>
      <c r="E175" s="32">
        <f t="shared" si="6"/>
        <v>21</v>
      </c>
      <c r="F175" s="33">
        <f t="shared" si="7"/>
        <v>36</v>
      </c>
      <c r="G175" s="34">
        <v>6.0</v>
      </c>
      <c r="H175" s="28">
        <v>2025.0</v>
      </c>
      <c r="I175" s="35">
        <f t="shared" si="4"/>
        <v>2</v>
      </c>
      <c r="J175" s="39" t="s">
        <v>48</v>
      </c>
      <c r="K175" s="40"/>
      <c r="L175" s="40"/>
      <c r="M175" s="41"/>
    </row>
    <row r="176">
      <c r="A176" s="29" t="s">
        <v>221</v>
      </c>
      <c r="B176" s="46" t="s">
        <v>51</v>
      </c>
      <c r="C176" s="72" t="s">
        <v>234</v>
      </c>
      <c r="D176" s="31">
        <f t="shared" si="5"/>
        <v>7</v>
      </c>
      <c r="E176" s="32">
        <f t="shared" si="6"/>
        <v>17</v>
      </c>
      <c r="F176" s="33">
        <f t="shared" si="7"/>
        <v>32</v>
      </c>
      <c r="G176" s="47">
        <v>2.0</v>
      </c>
      <c r="H176" s="42">
        <v>2025.0</v>
      </c>
      <c r="I176" s="35">
        <f t="shared" si="4"/>
        <v>2</v>
      </c>
      <c r="J176" s="46" t="s">
        <v>57</v>
      </c>
      <c r="K176" s="40">
        <v>1.0</v>
      </c>
      <c r="L176" s="40">
        <v>2025.0</v>
      </c>
      <c r="M176" s="41"/>
    </row>
    <row r="177">
      <c r="A177" s="29" t="s">
        <v>221</v>
      </c>
      <c r="B177" s="46" t="s">
        <v>46</v>
      </c>
      <c r="C177" s="72" t="s">
        <v>235</v>
      </c>
      <c r="D177" s="31">
        <f t="shared" si="5"/>
        <v>6</v>
      </c>
      <c r="E177" s="32">
        <f t="shared" si="6"/>
        <v>16</v>
      </c>
      <c r="F177" s="33">
        <f t="shared" si="7"/>
        <v>31</v>
      </c>
      <c r="G177" s="47">
        <v>1.0</v>
      </c>
      <c r="H177" s="42">
        <v>2025.0</v>
      </c>
      <c r="I177" s="35">
        <f t="shared" si="4"/>
        <v>2</v>
      </c>
      <c r="J177" s="46" t="s">
        <v>57</v>
      </c>
      <c r="K177" s="40">
        <v>2.0</v>
      </c>
      <c r="L177" s="40">
        <v>2025.0</v>
      </c>
      <c r="M177" s="41"/>
    </row>
    <row r="178">
      <c r="A178" s="42" t="s">
        <v>221</v>
      </c>
      <c r="B178" s="28" t="s">
        <v>46</v>
      </c>
      <c r="C178" s="72" t="s">
        <v>236</v>
      </c>
      <c r="D178" s="31">
        <f t="shared" si="5"/>
        <v>6</v>
      </c>
      <c r="E178" s="32">
        <f t="shared" si="6"/>
        <v>16</v>
      </c>
      <c r="F178" s="33">
        <f t="shared" si="7"/>
        <v>31</v>
      </c>
      <c r="G178" s="34">
        <v>1.0</v>
      </c>
      <c r="H178" s="42">
        <v>2025.0</v>
      </c>
      <c r="I178" s="35">
        <f t="shared" si="4"/>
        <v>2</v>
      </c>
      <c r="J178" s="51" t="s">
        <v>48</v>
      </c>
      <c r="K178" s="40"/>
      <c r="L178" s="40"/>
      <c r="M178" s="41"/>
    </row>
    <row r="179">
      <c r="A179" s="29" t="s">
        <v>221</v>
      </c>
      <c r="B179" s="46" t="s">
        <v>46</v>
      </c>
      <c r="C179" s="72" t="s">
        <v>237</v>
      </c>
      <c r="D179" s="31">
        <f t="shared" si="5"/>
        <v>7</v>
      </c>
      <c r="E179" s="32">
        <f t="shared" si="6"/>
        <v>17</v>
      </c>
      <c r="F179" s="33">
        <f t="shared" si="7"/>
        <v>32</v>
      </c>
      <c r="G179" s="47">
        <v>2.0</v>
      </c>
      <c r="H179" s="42">
        <v>2025.0</v>
      </c>
      <c r="I179" s="35">
        <f t="shared" si="4"/>
        <v>2</v>
      </c>
      <c r="J179" s="46" t="s">
        <v>64</v>
      </c>
      <c r="K179" s="40"/>
      <c r="L179" s="40"/>
      <c r="M179" s="41"/>
    </row>
    <row r="180">
      <c r="A180" s="29" t="s">
        <v>221</v>
      </c>
      <c r="B180" s="46" t="s">
        <v>46</v>
      </c>
      <c r="C180" s="72" t="s">
        <v>238</v>
      </c>
      <c r="D180" s="31">
        <f t="shared" si="5"/>
        <v>7</v>
      </c>
      <c r="E180" s="32">
        <f t="shared" si="6"/>
        <v>17</v>
      </c>
      <c r="F180" s="33">
        <f t="shared" si="7"/>
        <v>32</v>
      </c>
      <c r="G180" s="47">
        <v>2.0</v>
      </c>
      <c r="H180" s="42">
        <v>2025.0</v>
      </c>
      <c r="I180" s="35">
        <f t="shared" si="4"/>
        <v>2</v>
      </c>
      <c r="J180" s="46" t="s">
        <v>64</v>
      </c>
      <c r="K180" s="40"/>
      <c r="L180" s="40"/>
      <c r="M180" s="41"/>
    </row>
    <row r="181">
      <c r="A181" s="29" t="s">
        <v>221</v>
      </c>
      <c r="B181" s="46" t="s">
        <v>51</v>
      </c>
      <c r="C181" s="72" t="s">
        <v>239</v>
      </c>
      <c r="D181" s="31">
        <f t="shared" si="5"/>
        <v>7</v>
      </c>
      <c r="E181" s="32">
        <f t="shared" si="6"/>
        <v>17</v>
      </c>
      <c r="F181" s="33">
        <f t="shared" si="7"/>
        <v>32</v>
      </c>
      <c r="G181" s="47">
        <v>2.0</v>
      </c>
      <c r="H181" s="42">
        <v>2025.0</v>
      </c>
      <c r="I181" s="35">
        <f t="shared" si="4"/>
        <v>2</v>
      </c>
      <c r="J181" s="46" t="s">
        <v>64</v>
      </c>
      <c r="K181" s="40"/>
      <c r="L181" s="40"/>
      <c r="M181" s="41"/>
    </row>
    <row r="182">
      <c r="A182" s="29" t="s">
        <v>221</v>
      </c>
      <c r="B182" s="46" t="s">
        <v>55</v>
      </c>
      <c r="C182" s="72" t="s">
        <v>240</v>
      </c>
      <c r="D182" s="31">
        <f t="shared" si="5"/>
        <v>7</v>
      </c>
      <c r="E182" s="32">
        <f t="shared" si="6"/>
        <v>17</v>
      </c>
      <c r="F182" s="33">
        <f t="shared" si="7"/>
        <v>32</v>
      </c>
      <c r="G182" s="47">
        <v>2.0</v>
      </c>
      <c r="H182" s="42">
        <v>2025.0</v>
      </c>
      <c r="I182" s="35">
        <f t="shared" si="4"/>
        <v>2</v>
      </c>
      <c r="J182" s="46" t="s">
        <v>64</v>
      </c>
      <c r="K182" s="40"/>
      <c r="L182" s="40"/>
      <c r="M182" s="41"/>
    </row>
    <row r="183">
      <c r="A183" s="42" t="s">
        <v>221</v>
      </c>
      <c r="B183" s="29" t="s">
        <v>51</v>
      </c>
      <c r="C183" s="72" t="s">
        <v>241</v>
      </c>
      <c r="D183" s="31">
        <f t="shared" si="5"/>
        <v>7</v>
      </c>
      <c r="E183" s="32">
        <f t="shared" si="6"/>
        <v>17</v>
      </c>
      <c r="F183" s="33">
        <f t="shared" si="7"/>
        <v>32</v>
      </c>
      <c r="G183" s="34">
        <v>2.0</v>
      </c>
      <c r="H183" s="42">
        <v>2025.0</v>
      </c>
      <c r="I183" s="35">
        <f t="shared" si="4"/>
        <v>2</v>
      </c>
      <c r="J183" s="51" t="s">
        <v>64</v>
      </c>
      <c r="K183" s="40"/>
      <c r="L183" s="40"/>
      <c r="M183" s="41"/>
    </row>
    <row r="184">
      <c r="A184" s="28" t="s">
        <v>221</v>
      </c>
      <c r="B184" s="28" t="s">
        <v>46</v>
      </c>
      <c r="C184" s="72" t="s">
        <v>242</v>
      </c>
      <c r="D184" s="31">
        <f t="shared" si="5"/>
        <v>7</v>
      </c>
      <c r="E184" s="32">
        <f t="shared" si="6"/>
        <v>17</v>
      </c>
      <c r="F184" s="33">
        <f t="shared" si="7"/>
        <v>32</v>
      </c>
      <c r="G184" s="34">
        <v>2.0</v>
      </c>
      <c r="H184" s="42">
        <v>2025.0</v>
      </c>
      <c r="I184" s="35">
        <f t="shared" si="4"/>
        <v>2</v>
      </c>
      <c r="J184" s="39" t="s">
        <v>64</v>
      </c>
      <c r="K184" s="40"/>
      <c r="L184" s="40"/>
      <c r="M184" s="41"/>
    </row>
    <row r="185">
      <c r="A185" s="42" t="s">
        <v>221</v>
      </c>
      <c r="B185" s="28" t="s">
        <v>46</v>
      </c>
      <c r="C185" s="72" t="s">
        <v>243</v>
      </c>
      <c r="D185" s="31">
        <f t="shared" si="5"/>
        <v>7</v>
      </c>
      <c r="E185" s="32">
        <f t="shared" si="6"/>
        <v>17</v>
      </c>
      <c r="F185" s="33">
        <f t="shared" si="7"/>
        <v>32</v>
      </c>
      <c r="G185" s="34">
        <v>2.0</v>
      </c>
      <c r="H185" s="42">
        <v>2025.0</v>
      </c>
      <c r="I185" s="35">
        <f t="shared" si="4"/>
        <v>2</v>
      </c>
      <c r="J185" s="51" t="s">
        <v>48</v>
      </c>
      <c r="K185" s="40"/>
      <c r="L185" s="40"/>
      <c r="M185" s="41"/>
    </row>
    <row r="186">
      <c r="A186" s="42" t="s">
        <v>221</v>
      </c>
      <c r="B186" s="42" t="s">
        <v>46</v>
      </c>
      <c r="C186" s="72" t="s">
        <v>244</v>
      </c>
      <c r="D186" s="31">
        <f t="shared" si="5"/>
        <v>7</v>
      </c>
      <c r="E186" s="32">
        <f t="shared" si="6"/>
        <v>17</v>
      </c>
      <c r="F186" s="33">
        <f t="shared" si="7"/>
        <v>32</v>
      </c>
      <c r="G186" s="43">
        <v>2.0</v>
      </c>
      <c r="H186" s="42">
        <v>2025.0</v>
      </c>
      <c r="I186" s="35">
        <f t="shared" si="4"/>
        <v>2</v>
      </c>
      <c r="J186" s="51" t="s">
        <v>48</v>
      </c>
      <c r="K186" s="40"/>
      <c r="L186" s="40"/>
      <c r="M186" s="41"/>
    </row>
    <row r="187">
      <c r="A187" s="28" t="s">
        <v>245</v>
      </c>
      <c r="B187" s="50" t="s">
        <v>46</v>
      </c>
      <c r="C187" s="59" t="s">
        <v>246</v>
      </c>
      <c r="D187" s="31">
        <f t="shared" si="5"/>
        <v>76</v>
      </c>
      <c r="E187" s="32">
        <f t="shared" si="6"/>
        <v>106</v>
      </c>
      <c r="F187" s="33">
        <f t="shared" si="7"/>
        <v>141</v>
      </c>
      <c r="G187" s="60">
        <v>1.0</v>
      </c>
      <c r="H187" s="29">
        <v>2021.0</v>
      </c>
      <c r="I187" s="35">
        <f t="shared" si="4"/>
        <v>6</v>
      </c>
      <c r="J187" s="36" t="s">
        <v>48</v>
      </c>
      <c r="K187" s="40">
        <v>2.0</v>
      </c>
      <c r="L187" s="40">
        <v>2025.0</v>
      </c>
      <c r="M187" s="41" t="s">
        <v>223</v>
      </c>
    </row>
    <row r="188">
      <c r="A188" s="28" t="s">
        <v>245</v>
      </c>
      <c r="B188" s="74" t="s">
        <v>46</v>
      </c>
      <c r="C188" s="59" t="s">
        <v>247</v>
      </c>
      <c r="D188" s="31">
        <f t="shared" si="5"/>
        <v>52</v>
      </c>
      <c r="E188" s="32">
        <f t="shared" si="6"/>
        <v>77</v>
      </c>
      <c r="F188" s="33">
        <f t="shared" si="7"/>
        <v>107</v>
      </c>
      <c r="G188" s="65">
        <v>2.0</v>
      </c>
      <c r="H188" s="44">
        <v>2022.0</v>
      </c>
      <c r="I188" s="35">
        <f t="shared" si="4"/>
        <v>5</v>
      </c>
      <c r="J188" s="45" t="s">
        <v>48</v>
      </c>
      <c r="K188" s="53"/>
      <c r="L188" s="53"/>
      <c r="M188" s="54"/>
    </row>
    <row r="189">
      <c r="A189" s="28" t="s">
        <v>245</v>
      </c>
      <c r="B189" s="50" t="s">
        <v>46</v>
      </c>
      <c r="C189" s="59" t="s">
        <v>248</v>
      </c>
      <c r="D189" s="31">
        <f t="shared" si="5"/>
        <v>51</v>
      </c>
      <c r="E189" s="32">
        <f t="shared" si="6"/>
        <v>76</v>
      </c>
      <c r="F189" s="33">
        <f t="shared" si="7"/>
        <v>106</v>
      </c>
      <c r="G189" s="60">
        <v>1.0</v>
      </c>
      <c r="H189" s="29">
        <v>2022.0</v>
      </c>
      <c r="I189" s="35">
        <f t="shared" si="4"/>
        <v>5</v>
      </c>
      <c r="J189" s="36" t="s">
        <v>48</v>
      </c>
      <c r="K189" s="40"/>
      <c r="L189" s="40"/>
      <c r="M189" s="41"/>
    </row>
    <row r="190">
      <c r="A190" s="42" t="s">
        <v>245</v>
      </c>
      <c r="B190" s="42" t="s">
        <v>51</v>
      </c>
      <c r="C190" s="59" t="s">
        <v>249</v>
      </c>
      <c r="D190" s="31">
        <f t="shared" si="5"/>
        <v>19</v>
      </c>
      <c r="E190" s="32">
        <f t="shared" si="6"/>
        <v>34</v>
      </c>
      <c r="F190" s="33">
        <f t="shared" si="7"/>
        <v>54</v>
      </c>
      <c r="G190" s="43">
        <v>4.0</v>
      </c>
      <c r="H190" s="35">
        <v>2024.0</v>
      </c>
      <c r="I190" s="35">
        <f t="shared" si="4"/>
        <v>3</v>
      </c>
      <c r="J190" s="45" t="s">
        <v>48</v>
      </c>
      <c r="K190" s="48"/>
      <c r="L190" s="48"/>
      <c r="M190" s="49"/>
    </row>
    <row r="191" hidden="1">
      <c r="A191" s="28"/>
      <c r="B191" s="42" t="s">
        <v>55</v>
      </c>
      <c r="C191" s="72" t="s">
        <v>250</v>
      </c>
      <c r="D191" s="31">
        <f t="shared" si="5"/>
        <v>6</v>
      </c>
      <c r="E191" s="32">
        <f t="shared" si="6"/>
        <v>16</v>
      </c>
      <c r="F191" s="33">
        <f t="shared" si="7"/>
        <v>31</v>
      </c>
      <c r="G191" s="43">
        <v>1.0</v>
      </c>
      <c r="H191" s="28">
        <v>2025.0</v>
      </c>
      <c r="I191" s="35">
        <f t="shared" si="4"/>
        <v>2</v>
      </c>
      <c r="J191" s="36" t="s">
        <v>48</v>
      </c>
      <c r="K191" s="40"/>
      <c r="L191" s="40"/>
      <c r="M191" s="41"/>
    </row>
    <row r="192">
      <c r="A192" s="42" t="s">
        <v>245</v>
      </c>
      <c r="B192" s="75" t="s">
        <v>51</v>
      </c>
      <c r="C192" s="59" t="s">
        <v>251</v>
      </c>
      <c r="D192" s="31">
        <f t="shared" si="5"/>
        <v>56</v>
      </c>
      <c r="E192" s="32">
        <f t="shared" si="6"/>
        <v>66</v>
      </c>
      <c r="F192" s="33">
        <f t="shared" si="7"/>
        <v>81</v>
      </c>
      <c r="G192" s="43">
        <v>51.0</v>
      </c>
      <c r="H192" s="42">
        <v>2025.0</v>
      </c>
      <c r="I192" s="35">
        <f t="shared" si="4"/>
        <v>2</v>
      </c>
      <c r="J192" s="46" t="s">
        <v>48</v>
      </c>
      <c r="K192" s="40"/>
      <c r="L192" s="40"/>
      <c r="M192" s="41"/>
    </row>
    <row r="193">
      <c r="A193" s="28" t="s">
        <v>245</v>
      </c>
      <c r="B193" s="29" t="s">
        <v>55</v>
      </c>
      <c r="C193" s="59" t="s">
        <v>252</v>
      </c>
      <c r="D193" s="31">
        <f t="shared" si="5"/>
        <v>30</v>
      </c>
      <c r="E193" s="32">
        <f t="shared" si="6"/>
        <v>40</v>
      </c>
      <c r="F193" s="33">
        <f t="shared" si="7"/>
        <v>55</v>
      </c>
      <c r="G193" s="34">
        <v>25.0</v>
      </c>
      <c r="H193" s="28">
        <v>2025.0</v>
      </c>
      <c r="I193" s="35">
        <f t="shared" si="4"/>
        <v>2</v>
      </c>
      <c r="J193" s="39" t="s">
        <v>48</v>
      </c>
      <c r="K193" s="48"/>
      <c r="L193" s="48"/>
      <c r="M193" s="49"/>
    </row>
    <row r="194">
      <c r="A194" s="28" t="s">
        <v>245</v>
      </c>
      <c r="B194" s="29" t="s">
        <v>51</v>
      </c>
      <c r="C194" s="59" t="s">
        <v>253</v>
      </c>
      <c r="D194" s="31">
        <f t="shared" si="5"/>
        <v>29</v>
      </c>
      <c r="E194" s="32">
        <f t="shared" si="6"/>
        <v>39</v>
      </c>
      <c r="F194" s="33">
        <f t="shared" si="7"/>
        <v>54</v>
      </c>
      <c r="G194" s="34">
        <v>24.0</v>
      </c>
      <c r="H194" s="28">
        <v>2025.0</v>
      </c>
      <c r="I194" s="35">
        <f t="shared" si="4"/>
        <v>2</v>
      </c>
      <c r="J194" s="45" t="s">
        <v>48</v>
      </c>
      <c r="K194" s="40"/>
      <c r="L194" s="40"/>
      <c r="M194" s="41"/>
    </row>
    <row r="195">
      <c r="A195" s="76" t="s">
        <v>245</v>
      </c>
      <c r="B195" s="29" t="s">
        <v>60</v>
      </c>
      <c r="C195" s="59" t="s">
        <v>254</v>
      </c>
      <c r="D195" s="31">
        <f t="shared" si="5"/>
        <v>22</v>
      </c>
      <c r="E195" s="32">
        <f t="shared" si="6"/>
        <v>32</v>
      </c>
      <c r="F195" s="33">
        <f t="shared" si="7"/>
        <v>47</v>
      </c>
      <c r="G195" s="34">
        <v>17.0</v>
      </c>
      <c r="H195" s="42">
        <v>2025.0</v>
      </c>
      <c r="I195" s="35">
        <f t="shared" si="4"/>
        <v>2</v>
      </c>
      <c r="J195" s="36" t="s">
        <v>48</v>
      </c>
      <c r="K195" s="40"/>
      <c r="L195" s="40"/>
      <c r="M195" s="41"/>
    </row>
    <row r="196">
      <c r="A196" s="42" t="s">
        <v>245</v>
      </c>
      <c r="B196" s="42" t="s">
        <v>51</v>
      </c>
      <c r="C196" s="59" t="s">
        <v>255</v>
      </c>
      <c r="D196" s="31">
        <f t="shared" si="5"/>
        <v>6</v>
      </c>
      <c r="E196" s="32">
        <f t="shared" si="6"/>
        <v>16</v>
      </c>
      <c r="F196" s="33">
        <f t="shared" si="7"/>
        <v>31</v>
      </c>
      <c r="G196" s="43">
        <v>1.0</v>
      </c>
      <c r="H196" s="42">
        <v>2025.0</v>
      </c>
      <c r="I196" s="35">
        <f t="shared" si="4"/>
        <v>2</v>
      </c>
      <c r="J196" s="51" t="s">
        <v>48</v>
      </c>
      <c r="K196" s="48"/>
      <c r="L196" s="48"/>
      <c r="M196" s="49"/>
    </row>
    <row r="197">
      <c r="A197" s="42" t="s">
        <v>245</v>
      </c>
      <c r="B197" s="42" t="s">
        <v>46</v>
      </c>
      <c r="C197" s="59" t="s">
        <v>256</v>
      </c>
      <c r="D197" s="31">
        <f t="shared" si="5"/>
        <v>46</v>
      </c>
      <c r="E197" s="32">
        <f t="shared" si="6"/>
        <v>56</v>
      </c>
      <c r="F197" s="33">
        <f t="shared" si="7"/>
        <v>71</v>
      </c>
      <c r="G197" s="43">
        <v>41.0</v>
      </c>
      <c r="H197" s="42">
        <v>2025.0</v>
      </c>
      <c r="I197" s="35">
        <f t="shared" si="4"/>
        <v>2</v>
      </c>
      <c r="J197" s="51" t="s">
        <v>48</v>
      </c>
      <c r="K197" s="40"/>
      <c r="L197" s="40"/>
      <c r="M197" s="41"/>
    </row>
    <row r="198">
      <c r="A198" s="28" t="s">
        <v>245</v>
      </c>
      <c r="B198" s="28" t="s">
        <v>55</v>
      </c>
      <c r="C198" s="58" t="s">
        <v>257</v>
      </c>
      <c r="D198" s="31">
        <f t="shared" si="5"/>
        <v>7</v>
      </c>
      <c r="E198" s="32">
        <f t="shared" si="6"/>
        <v>17</v>
      </c>
      <c r="F198" s="33">
        <f t="shared" si="7"/>
        <v>32</v>
      </c>
      <c r="G198" s="34">
        <v>2.0</v>
      </c>
      <c r="H198" s="28">
        <v>2025.0</v>
      </c>
      <c r="I198" s="35">
        <f t="shared" si="4"/>
        <v>2</v>
      </c>
      <c r="J198" s="51" t="s">
        <v>64</v>
      </c>
      <c r="K198" s="40"/>
      <c r="L198" s="40"/>
      <c r="M198" s="41"/>
    </row>
    <row r="199" hidden="1">
      <c r="A199" s="42"/>
      <c r="B199" s="29" t="s">
        <v>46</v>
      </c>
      <c r="C199" s="59" t="s">
        <v>258</v>
      </c>
      <c r="D199" s="31">
        <f t="shared" si="5"/>
        <v>18</v>
      </c>
      <c r="E199" s="32">
        <f t="shared" si="6"/>
        <v>28</v>
      </c>
      <c r="F199" s="33">
        <f t="shared" si="7"/>
        <v>43</v>
      </c>
      <c r="G199" s="34">
        <v>13.0</v>
      </c>
      <c r="H199" s="42">
        <v>2025.0</v>
      </c>
      <c r="I199" s="35">
        <f t="shared" si="4"/>
        <v>2</v>
      </c>
      <c r="J199" s="46" t="s">
        <v>48</v>
      </c>
      <c r="K199" s="48"/>
      <c r="L199" s="48"/>
      <c r="M199" s="49"/>
    </row>
    <row r="200">
      <c r="A200" s="28" t="s">
        <v>245</v>
      </c>
      <c r="B200" s="29" t="s">
        <v>51</v>
      </c>
      <c r="C200" s="58" t="s">
        <v>259</v>
      </c>
      <c r="D200" s="31">
        <f t="shared" si="5"/>
        <v>7</v>
      </c>
      <c r="E200" s="32">
        <f t="shared" si="6"/>
        <v>17</v>
      </c>
      <c r="F200" s="33">
        <f t="shared" si="7"/>
        <v>32</v>
      </c>
      <c r="G200" s="34">
        <v>2.0</v>
      </c>
      <c r="H200" s="28">
        <v>2025.0</v>
      </c>
      <c r="I200" s="35">
        <f t="shared" si="4"/>
        <v>2</v>
      </c>
      <c r="J200" s="51" t="s">
        <v>64</v>
      </c>
      <c r="K200" s="40"/>
      <c r="L200" s="40"/>
      <c r="M200" s="41"/>
    </row>
    <row r="201">
      <c r="A201" s="28" t="s">
        <v>245</v>
      </c>
      <c r="B201" s="28" t="s">
        <v>60</v>
      </c>
      <c r="C201" s="58" t="s">
        <v>260</v>
      </c>
      <c r="D201" s="31">
        <f t="shared" si="5"/>
        <v>7</v>
      </c>
      <c r="E201" s="32">
        <f t="shared" si="6"/>
        <v>17</v>
      </c>
      <c r="F201" s="33">
        <f t="shared" si="7"/>
        <v>32</v>
      </c>
      <c r="G201" s="34">
        <v>2.0</v>
      </c>
      <c r="H201" s="28">
        <v>2025.0</v>
      </c>
      <c r="I201" s="35">
        <f t="shared" si="4"/>
        <v>2</v>
      </c>
      <c r="J201" s="51" t="s">
        <v>64</v>
      </c>
      <c r="K201" s="40"/>
      <c r="L201" s="40"/>
      <c r="M201" s="41"/>
    </row>
    <row r="202">
      <c r="A202" s="28" t="s">
        <v>245</v>
      </c>
      <c r="B202" s="28" t="s">
        <v>46</v>
      </c>
      <c r="C202" s="59" t="s">
        <v>261</v>
      </c>
      <c r="D202" s="31">
        <f t="shared" si="5"/>
        <v>7</v>
      </c>
      <c r="E202" s="32">
        <f t="shared" si="6"/>
        <v>17</v>
      </c>
      <c r="F202" s="33">
        <f t="shared" si="7"/>
        <v>32</v>
      </c>
      <c r="G202" s="34">
        <v>2.0</v>
      </c>
      <c r="H202" s="42">
        <v>2025.0</v>
      </c>
      <c r="I202" s="35">
        <f t="shared" si="4"/>
        <v>2</v>
      </c>
      <c r="J202" s="39" t="s">
        <v>64</v>
      </c>
      <c r="K202" s="40"/>
      <c r="L202" s="40"/>
      <c r="M202" s="41"/>
    </row>
    <row r="203">
      <c r="A203" s="42" t="s">
        <v>245</v>
      </c>
      <c r="B203" s="50" t="s">
        <v>46</v>
      </c>
      <c r="C203" s="59" t="s">
        <v>262</v>
      </c>
      <c r="D203" s="31">
        <f t="shared" si="5"/>
        <v>7</v>
      </c>
      <c r="E203" s="32">
        <f t="shared" si="6"/>
        <v>17</v>
      </c>
      <c r="F203" s="33">
        <f t="shared" si="7"/>
        <v>32</v>
      </c>
      <c r="G203" s="34">
        <v>2.0</v>
      </c>
      <c r="H203" s="42">
        <v>2025.0</v>
      </c>
      <c r="I203" s="35">
        <f t="shared" si="4"/>
        <v>2</v>
      </c>
      <c r="J203" s="39" t="s">
        <v>64</v>
      </c>
      <c r="K203" s="37"/>
      <c r="L203" s="37"/>
      <c r="M203" s="38"/>
    </row>
    <row r="204">
      <c r="A204" s="42" t="s">
        <v>245</v>
      </c>
      <c r="B204" s="42" t="s">
        <v>51</v>
      </c>
      <c r="C204" s="59" t="s">
        <v>263</v>
      </c>
      <c r="D204" s="31">
        <f t="shared" si="5"/>
        <v>7</v>
      </c>
      <c r="E204" s="32">
        <f t="shared" si="6"/>
        <v>17</v>
      </c>
      <c r="F204" s="33">
        <f t="shared" si="7"/>
        <v>32</v>
      </c>
      <c r="G204" s="34">
        <v>2.0</v>
      </c>
      <c r="H204" s="42">
        <v>2025.0</v>
      </c>
      <c r="I204" s="35">
        <f t="shared" si="4"/>
        <v>2</v>
      </c>
      <c r="J204" s="39" t="s">
        <v>64</v>
      </c>
      <c r="K204" s="40"/>
      <c r="L204" s="40"/>
      <c r="M204" s="41"/>
    </row>
    <row r="205">
      <c r="A205" s="28" t="s">
        <v>245</v>
      </c>
      <c r="B205" s="28" t="s">
        <v>46</v>
      </c>
      <c r="C205" s="59" t="s">
        <v>264</v>
      </c>
      <c r="D205" s="31">
        <f t="shared" si="5"/>
        <v>7</v>
      </c>
      <c r="E205" s="32">
        <f t="shared" si="6"/>
        <v>17</v>
      </c>
      <c r="F205" s="33">
        <f t="shared" si="7"/>
        <v>32</v>
      </c>
      <c r="G205" s="34">
        <v>2.0</v>
      </c>
      <c r="H205" s="42">
        <v>2025.0</v>
      </c>
      <c r="I205" s="35">
        <f t="shared" si="4"/>
        <v>2</v>
      </c>
      <c r="J205" s="39" t="s">
        <v>64</v>
      </c>
      <c r="K205" s="40"/>
      <c r="L205" s="40"/>
      <c r="M205" s="41"/>
    </row>
    <row r="206">
      <c r="A206" s="42" t="s">
        <v>245</v>
      </c>
      <c r="B206" s="66" t="s">
        <v>46</v>
      </c>
      <c r="C206" s="59" t="s">
        <v>265</v>
      </c>
      <c r="D206" s="31">
        <f t="shared" si="5"/>
        <v>7</v>
      </c>
      <c r="E206" s="32">
        <f t="shared" si="6"/>
        <v>17</v>
      </c>
      <c r="F206" s="33">
        <f t="shared" si="7"/>
        <v>32</v>
      </c>
      <c r="G206" s="34">
        <v>2.0</v>
      </c>
      <c r="H206" s="42">
        <v>2025.0</v>
      </c>
      <c r="I206" s="35">
        <f t="shared" si="4"/>
        <v>2</v>
      </c>
      <c r="J206" s="39" t="s">
        <v>64</v>
      </c>
      <c r="K206" s="40"/>
      <c r="L206" s="40"/>
      <c r="M206" s="41"/>
    </row>
    <row r="207">
      <c r="A207" s="28" t="s">
        <v>245</v>
      </c>
      <c r="B207" s="28" t="s">
        <v>60</v>
      </c>
      <c r="C207" s="59" t="s">
        <v>266</v>
      </c>
      <c r="D207" s="31">
        <f t="shared" si="5"/>
        <v>7</v>
      </c>
      <c r="E207" s="32">
        <f t="shared" si="6"/>
        <v>17</v>
      </c>
      <c r="F207" s="33">
        <f t="shared" si="7"/>
        <v>32</v>
      </c>
      <c r="G207" s="34">
        <v>2.0</v>
      </c>
      <c r="H207" s="42">
        <v>2025.0</v>
      </c>
      <c r="I207" s="35">
        <f t="shared" si="4"/>
        <v>2</v>
      </c>
      <c r="J207" s="39" t="s">
        <v>64</v>
      </c>
      <c r="K207" s="40"/>
      <c r="L207" s="40"/>
      <c r="M207" s="41"/>
    </row>
    <row r="208" ht="14.25" customHeight="1">
      <c r="A208" s="42" t="s">
        <v>245</v>
      </c>
      <c r="B208" s="42" t="s">
        <v>51</v>
      </c>
      <c r="C208" s="59" t="s">
        <v>267</v>
      </c>
      <c r="D208" s="31">
        <f t="shared" si="5"/>
        <v>7</v>
      </c>
      <c r="E208" s="32">
        <f t="shared" si="6"/>
        <v>17</v>
      </c>
      <c r="F208" s="33">
        <f t="shared" si="7"/>
        <v>32</v>
      </c>
      <c r="G208" s="34">
        <v>2.0</v>
      </c>
      <c r="H208" s="42">
        <v>2025.0</v>
      </c>
      <c r="I208" s="35">
        <f t="shared" si="4"/>
        <v>2</v>
      </c>
      <c r="J208" s="39" t="s">
        <v>64</v>
      </c>
      <c r="K208" s="40"/>
      <c r="L208" s="40"/>
      <c r="M208" s="41"/>
    </row>
    <row r="209">
      <c r="A209" s="76" t="s">
        <v>245</v>
      </c>
      <c r="B209" s="28" t="s">
        <v>55</v>
      </c>
      <c r="C209" s="59" t="s">
        <v>268</v>
      </c>
      <c r="D209" s="31">
        <f t="shared" si="5"/>
        <v>7</v>
      </c>
      <c r="E209" s="32">
        <f t="shared" si="6"/>
        <v>17</v>
      </c>
      <c r="F209" s="33">
        <f t="shared" si="7"/>
        <v>32</v>
      </c>
      <c r="G209" s="34">
        <v>2.0</v>
      </c>
      <c r="H209" s="42">
        <v>2025.0</v>
      </c>
      <c r="I209" s="35">
        <f t="shared" si="4"/>
        <v>2</v>
      </c>
      <c r="J209" s="39" t="s">
        <v>64</v>
      </c>
      <c r="K209" s="40"/>
      <c r="L209" s="40"/>
      <c r="M209" s="41"/>
    </row>
    <row r="210">
      <c r="A210" s="78" t="s">
        <v>269</v>
      </c>
      <c r="B210" s="56" t="s">
        <v>57</v>
      </c>
      <c r="C210" s="30" t="s">
        <v>72</v>
      </c>
      <c r="D210" s="31">
        <f t="shared" si="5"/>
        <v>2</v>
      </c>
      <c r="E210" s="32">
        <f t="shared" si="6"/>
        <v>7</v>
      </c>
      <c r="F210" s="33">
        <f t="shared" si="7"/>
        <v>17</v>
      </c>
      <c r="G210" s="57">
        <v>2.0</v>
      </c>
      <c r="H210" s="46">
        <v>2026.0</v>
      </c>
      <c r="I210" s="35">
        <f t="shared" si="4"/>
        <v>1</v>
      </c>
      <c r="J210" s="46" t="s">
        <v>57</v>
      </c>
      <c r="K210" s="40">
        <v>1.0</v>
      </c>
      <c r="L210" s="40">
        <v>2026.0</v>
      </c>
      <c r="M210" s="41" t="s">
        <v>270</v>
      </c>
    </row>
    <row r="211">
      <c r="A211" s="55" t="s">
        <v>269</v>
      </c>
      <c r="B211" s="56" t="s">
        <v>57</v>
      </c>
      <c r="C211" s="30" t="s">
        <v>74</v>
      </c>
      <c r="D211" s="31">
        <f t="shared" si="5"/>
        <v>1</v>
      </c>
      <c r="E211" s="32">
        <f t="shared" si="6"/>
        <v>6</v>
      </c>
      <c r="F211" s="33">
        <f t="shared" si="7"/>
        <v>16</v>
      </c>
      <c r="G211" s="57">
        <v>1.0</v>
      </c>
      <c r="H211" s="46">
        <v>2026.0</v>
      </c>
      <c r="I211" s="35">
        <f t="shared" si="4"/>
        <v>1</v>
      </c>
      <c r="J211" s="46" t="s">
        <v>57</v>
      </c>
      <c r="K211" s="40">
        <v>2.0</v>
      </c>
      <c r="L211" s="40">
        <v>2026.0</v>
      </c>
      <c r="M211" s="41" t="s">
        <v>135</v>
      </c>
    </row>
    <row r="212">
      <c r="A212" s="42" t="s">
        <v>269</v>
      </c>
      <c r="B212" s="66" t="s">
        <v>55</v>
      </c>
      <c r="C212" s="72" t="s">
        <v>271</v>
      </c>
      <c r="D212" s="31">
        <f t="shared" si="5"/>
        <v>74</v>
      </c>
      <c r="E212" s="32">
        <f t="shared" si="6"/>
        <v>89</v>
      </c>
      <c r="F212" s="33">
        <f t="shared" si="7"/>
        <v>109</v>
      </c>
      <c r="G212" s="43">
        <v>59.0</v>
      </c>
      <c r="H212" s="35">
        <v>2024.0</v>
      </c>
      <c r="I212" s="35">
        <f t="shared" si="4"/>
        <v>3</v>
      </c>
      <c r="J212" s="45" t="s">
        <v>48</v>
      </c>
      <c r="K212" s="40">
        <v>1.0</v>
      </c>
      <c r="L212" s="40">
        <v>2025.0</v>
      </c>
      <c r="M212" s="41" t="s">
        <v>71</v>
      </c>
    </row>
    <row r="213">
      <c r="A213" s="44" t="s">
        <v>269</v>
      </c>
      <c r="B213" s="29" t="s">
        <v>51</v>
      </c>
      <c r="C213" s="72" t="s">
        <v>272</v>
      </c>
      <c r="D213" s="31">
        <f t="shared" si="5"/>
        <v>32</v>
      </c>
      <c r="E213" s="32">
        <f t="shared" si="6"/>
        <v>52</v>
      </c>
      <c r="F213" s="33">
        <f t="shared" si="7"/>
        <v>77</v>
      </c>
      <c r="G213" s="60">
        <v>2.0</v>
      </c>
      <c r="H213" s="29">
        <v>2023.0</v>
      </c>
      <c r="I213" s="35">
        <f t="shared" si="4"/>
        <v>4</v>
      </c>
      <c r="J213" s="36" t="s">
        <v>48</v>
      </c>
      <c r="K213" s="40"/>
      <c r="L213" s="40"/>
      <c r="M213" s="41"/>
    </row>
    <row r="214">
      <c r="A214" s="28" t="s">
        <v>269</v>
      </c>
      <c r="B214" s="50" t="s">
        <v>60</v>
      </c>
      <c r="C214" s="72" t="s">
        <v>273</v>
      </c>
      <c r="D214" s="31">
        <f t="shared" si="5"/>
        <v>32</v>
      </c>
      <c r="E214" s="32">
        <f t="shared" si="6"/>
        <v>52</v>
      </c>
      <c r="F214" s="33">
        <f t="shared" si="7"/>
        <v>77</v>
      </c>
      <c r="G214" s="60">
        <v>2.0</v>
      </c>
      <c r="H214" s="29">
        <v>2023.0</v>
      </c>
      <c r="I214" s="35">
        <f t="shared" si="4"/>
        <v>4</v>
      </c>
      <c r="J214" s="45" t="s">
        <v>48</v>
      </c>
      <c r="K214" s="40">
        <v>1.0</v>
      </c>
      <c r="L214" s="40">
        <v>2025.0</v>
      </c>
      <c r="M214" s="41" t="s">
        <v>73</v>
      </c>
    </row>
    <row r="215">
      <c r="A215" s="28" t="s">
        <v>269</v>
      </c>
      <c r="B215" s="29" t="s">
        <v>51</v>
      </c>
      <c r="C215" s="72" t="s">
        <v>274</v>
      </c>
      <c r="D215" s="31">
        <f t="shared" si="5"/>
        <v>31</v>
      </c>
      <c r="E215" s="32">
        <f t="shared" si="6"/>
        <v>51</v>
      </c>
      <c r="F215" s="33">
        <f t="shared" si="7"/>
        <v>76</v>
      </c>
      <c r="G215" s="60">
        <v>1.0</v>
      </c>
      <c r="H215" s="29">
        <v>2023.0</v>
      </c>
      <c r="I215" s="35">
        <f t="shared" si="4"/>
        <v>4</v>
      </c>
      <c r="J215" s="36" t="s">
        <v>48</v>
      </c>
      <c r="K215" s="40">
        <v>2.0</v>
      </c>
      <c r="L215" s="40">
        <v>2026.0</v>
      </c>
      <c r="M215" s="41"/>
    </row>
    <row r="216">
      <c r="A216" s="42" t="s">
        <v>269</v>
      </c>
      <c r="B216" s="35" t="s">
        <v>46</v>
      </c>
      <c r="C216" s="72" t="s">
        <v>275</v>
      </c>
      <c r="D216" s="31">
        <f t="shared" si="5"/>
        <v>19</v>
      </c>
      <c r="E216" s="32">
        <f t="shared" si="6"/>
        <v>34</v>
      </c>
      <c r="F216" s="33">
        <f t="shared" si="7"/>
        <v>54</v>
      </c>
      <c r="G216" s="65">
        <v>4.0</v>
      </c>
      <c r="H216" s="35">
        <v>2024.0</v>
      </c>
      <c r="I216" s="35">
        <f t="shared" si="4"/>
        <v>3</v>
      </c>
      <c r="J216" s="45" t="s">
        <v>48</v>
      </c>
      <c r="K216" s="40"/>
      <c r="L216" s="40"/>
      <c r="M216" s="41"/>
    </row>
    <row r="217">
      <c r="A217" s="28" t="s">
        <v>269</v>
      </c>
      <c r="B217" s="28" t="s">
        <v>55</v>
      </c>
      <c r="C217" s="72" t="s">
        <v>276</v>
      </c>
      <c r="D217" s="31">
        <f t="shared" si="5"/>
        <v>17</v>
      </c>
      <c r="E217" s="32">
        <f t="shared" si="6"/>
        <v>32</v>
      </c>
      <c r="F217" s="33">
        <f t="shared" si="7"/>
        <v>52</v>
      </c>
      <c r="G217" s="34">
        <v>2.0</v>
      </c>
      <c r="H217" s="28">
        <v>2024.0</v>
      </c>
      <c r="I217" s="35">
        <f t="shared" si="4"/>
        <v>3</v>
      </c>
      <c r="J217" s="39" t="s">
        <v>19</v>
      </c>
      <c r="K217" s="40">
        <v>1.0</v>
      </c>
      <c r="L217" s="40">
        <v>2024.0</v>
      </c>
      <c r="M217" s="41"/>
    </row>
    <row r="218">
      <c r="A218" s="28" t="s">
        <v>269</v>
      </c>
      <c r="B218" s="28" t="s">
        <v>51</v>
      </c>
      <c r="C218" s="72" t="s">
        <v>277</v>
      </c>
      <c r="D218" s="31">
        <f t="shared" si="5"/>
        <v>16</v>
      </c>
      <c r="E218" s="32">
        <f t="shared" si="6"/>
        <v>31</v>
      </c>
      <c r="F218" s="33">
        <f t="shared" si="7"/>
        <v>51</v>
      </c>
      <c r="G218" s="34">
        <v>1.0</v>
      </c>
      <c r="H218" s="28">
        <v>2024.0</v>
      </c>
      <c r="I218" s="35">
        <f t="shared" si="4"/>
        <v>3</v>
      </c>
      <c r="J218" s="39" t="s">
        <v>19</v>
      </c>
      <c r="K218" s="48">
        <v>2.0</v>
      </c>
      <c r="L218" s="48">
        <v>2024.0</v>
      </c>
      <c r="M218" s="49"/>
    </row>
    <row r="219">
      <c r="A219" s="28" t="s">
        <v>269</v>
      </c>
      <c r="B219" s="35" t="s">
        <v>51</v>
      </c>
      <c r="C219" s="72" t="s">
        <v>278</v>
      </c>
      <c r="D219" s="31">
        <f t="shared" si="5"/>
        <v>64</v>
      </c>
      <c r="E219" s="32">
        <f t="shared" si="6"/>
        <v>74</v>
      </c>
      <c r="F219" s="33">
        <f t="shared" si="7"/>
        <v>89</v>
      </c>
      <c r="G219" s="43">
        <v>59.0</v>
      </c>
      <c r="H219" s="28">
        <v>2025.0</v>
      </c>
      <c r="I219" s="35">
        <f t="shared" si="4"/>
        <v>2</v>
      </c>
      <c r="J219" s="45" t="s">
        <v>48</v>
      </c>
      <c r="K219" s="53"/>
      <c r="L219" s="53"/>
      <c r="M219" s="54"/>
    </row>
    <row r="220">
      <c r="A220" s="42" t="s">
        <v>269</v>
      </c>
      <c r="B220" s="66" t="s">
        <v>46</v>
      </c>
      <c r="C220" s="72" t="s">
        <v>279</v>
      </c>
      <c r="D220" s="31">
        <f t="shared" si="5"/>
        <v>19</v>
      </c>
      <c r="E220" s="32">
        <f t="shared" si="6"/>
        <v>29</v>
      </c>
      <c r="F220" s="33">
        <f t="shared" si="7"/>
        <v>44</v>
      </c>
      <c r="G220" s="43">
        <v>14.0</v>
      </c>
      <c r="H220" s="42">
        <v>2025.0</v>
      </c>
      <c r="I220" s="35">
        <f t="shared" si="4"/>
        <v>2</v>
      </c>
      <c r="J220" s="51" t="s">
        <v>48</v>
      </c>
      <c r="K220" s="40"/>
      <c r="L220" s="40"/>
      <c r="M220" s="41"/>
    </row>
    <row r="221">
      <c r="A221" s="42" t="s">
        <v>269</v>
      </c>
      <c r="B221" s="66" t="s">
        <v>55</v>
      </c>
      <c r="C221" s="72" t="s">
        <v>280</v>
      </c>
      <c r="D221" s="31">
        <f t="shared" si="5"/>
        <v>7</v>
      </c>
      <c r="E221" s="32">
        <f t="shared" si="6"/>
        <v>17</v>
      </c>
      <c r="F221" s="33">
        <f t="shared" si="7"/>
        <v>32</v>
      </c>
      <c r="G221" s="43">
        <v>2.0</v>
      </c>
      <c r="H221" s="42">
        <v>2025.0</v>
      </c>
      <c r="I221" s="35">
        <f t="shared" si="4"/>
        <v>2</v>
      </c>
      <c r="J221" s="51" t="s">
        <v>48</v>
      </c>
      <c r="K221" s="40"/>
      <c r="L221" s="40"/>
      <c r="M221" s="41"/>
    </row>
    <row r="222">
      <c r="A222" s="76" t="s">
        <v>269</v>
      </c>
      <c r="B222" s="29" t="s">
        <v>51</v>
      </c>
      <c r="C222" s="72" t="s">
        <v>281</v>
      </c>
      <c r="D222" s="31">
        <f t="shared" si="5"/>
        <v>7</v>
      </c>
      <c r="E222" s="32">
        <f t="shared" si="6"/>
        <v>17</v>
      </c>
      <c r="F222" s="33">
        <f t="shared" si="7"/>
        <v>32</v>
      </c>
      <c r="G222" s="34">
        <v>2.0</v>
      </c>
      <c r="H222" s="42">
        <v>2025.0</v>
      </c>
      <c r="I222" s="35">
        <f t="shared" si="4"/>
        <v>2</v>
      </c>
      <c r="J222" s="39" t="s">
        <v>64</v>
      </c>
      <c r="K222" s="48"/>
      <c r="L222" s="48"/>
      <c r="M222" s="49"/>
    </row>
    <row r="223">
      <c r="A223" s="28" t="s">
        <v>269</v>
      </c>
      <c r="B223" s="29" t="s">
        <v>51</v>
      </c>
      <c r="C223" s="72" t="s">
        <v>282</v>
      </c>
      <c r="D223" s="31">
        <f t="shared" si="5"/>
        <v>7</v>
      </c>
      <c r="E223" s="32">
        <f t="shared" si="6"/>
        <v>17</v>
      </c>
      <c r="F223" s="33">
        <f t="shared" si="7"/>
        <v>32</v>
      </c>
      <c r="G223" s="34">
        <v>2.0</v>
      </c>
      <c r="H223" s="28">
        <v>2025.0</v>
      </c>
      <c r="I223" s="35">
        <f t="shared" si="4"/>
        <v>2</v>
      </c>
      <c r="J223" s="39" t="s">
        <v>64</v>
      </c>
      <c r="K223" s="40"/>
      <c r="L223" s="40"/>
      <c r="M223" s="41"/>
    </row>
    <row r="224">
      <c r="A224" s="28" t="s">
        <v>269</v>
      </c>
      <c r="B224" s="28" t="s">
        <v>55</v>
      </c>
      <c r="C224" s="72" t="s">
        <v>283</v>
      </c>
      <c r="D224" s="31">
        <f t="shared" si="5"/>
        <v>7</v>
      </c>
      <c r="E224" s="32">
        <f t="shared" si="6"/>
        <v>17</v>
      </c>
      <c r="F224" s="33">
        <f t="shared" si="7"/>
        <v>32</v>
      </c>
      <c r="G224" s="34">
        <v>2.0</v>
      </c>
      <c r="H224" s="28">
        <v>2025.0</v>
      </c>
      <c r="I224" s="35">
        <f t="shared" si="4"/>
        <v>2</v>
      </c>
      <c r="J224" s="39" t="s">
        <v>64</v>
      </c>
      <c r="K224" s="40"/>
      <c r="L224" s="40"/>
      <c r="M224" s="41"/>
    </row>
    <row r="225">
      <c r="A225" s="28" t="s">
        <v>269</v>
      </c>
      <c r="B225" s="28" t="s">
        <v>55</v>
      </c>
      <c r="C225" s="72" t="s">
        <v>284</v>
      </c>
      <c r="D225" s="31">
        <f t="shared" si="5"/>
        <v>7</v>
      </c>
      <c r="E225" s="32">
        <f t="shared" si="6"/>
        <v>17</v>
      </c>
      <c r="F225" s="33">
        <f t="shared" si="7"/>
        <v>32</v>
      </c>
      <c r="G225" s="34">
        <v>2.0</v>
      </c>
      <c r="H225" s="28">
        <v>2025.0</v>
      </c>
      <c r="I225" s="35">
        <f t="shared" si="4"/>
        <v>2</v>
      </c>
      <c r="J225" s="39" t="s">
        <v>64</v>
      </c>
      <c r="K225" s="40"/>
      <c r="L225" s="40"/>
      <c r="M225" s="41"/>
    </row>
    <row r="226">
      <c r="A226" s="42" t="s">
        <v>269</v>
      </c>
      <c r="B226" s="42" t="s">
        <v>55</v>
      </c>
      <c r="C226" s="72" t="s">
        <v>285</v>
      </c>
      <c r="D226" s="31">
        <f t="shared" si="5"/>
        <v>7</v>
      </c>
      <c r="E226" s="32">
        <f t="shared" si="6"/>
        <v>17</v>
      </c>
      <c r="F226" s="33">
        <f t="shared" si="7"/>
        <v>32</v>
      </c>
      <c r="G226" s="34">
        <v>2.0</v>
      </c>
      <c r="H226" s="28">
        <v>2025.0</v>
      </c>
      <c r="I226" s="35">
        <f t="shared" si="4"/>
        <v>2</v>
      </c>
      <c r="J226" s="39" t="s">
        <v>64</v>
      </c>
      <c r="K226" s="40"/>
      <c r="L226" s="40"/>
      <c r="M226" s="41"/>
    </row>
    <row r="227" hidden="1">
      <c r="A227" s="28"/>
      <c r="B227" s="79" t="s">
        <v>60</v>
      </c>
      <c r="C227" s="58" t="s">
        <v>286</v>
      </c>
      <c r="D227" s="31">
        <f t="shared" si="5"/>
        <v>6</v>
      </c>
      <c r="E227" s="32">
        <f t="shared" si="6"/>
        <v>16</v>
      </c>
      <c r="F227" s="33">
        <f t="shared" si="7"/>
        <v>31</v>
      </c>
      <c r="G227" s="34">
        <v>1.0</v>
      </c>
      <c r="H227" s="28">
        <v>2025.0</v>
      </c>
      <c r="I227" s="35">
        <f t="shared" si="4"/>
        <v>2</v>
      </c>
      <c r="J227" s="36" t="s">
        <v>48</v>
      </c>
      <c r="K227" s="40"/>
      <c r="L227" s="40"/>
      <c r="M227" s="41"/>
    </row>
    <row r="228">
      <c r="A228" s="28" t="s">
        <v>269</v>
      </c>
      <c r="B228" s="42" t="s">
        <v>46</v>
      </c>
      <c r="C228" s="72" t="s">
        <v>287</v>
      </c>
      <c r="D228" s="31">
        <f t="shared" si="5"/>
        <v>7</v>
      </c>
      <c r="E228" s="32">
        <f t="shared" si="6"/>
        <v>17</v>
      </c>
      <c r="F228" s="33">
        <f t="shared" si="7"/>
        <v>32</v>
      </c>
      <c r="G228" s="34">
        <v>2.0</v>
      </c>
      <c r="H228" s="28">
        <v>2025.0</v>
      </c>
      <c r="I228" s="35">
        <f t="shared" si="4"/>
        <v>2</v>
      </c>
      <c r="J228" s="39" t="s">
        <v>64</v>
      </c>
      <c r="K228" s="40"/>
      <c r="L228" s="40"/>
      <c r="M228" s="41"/>
    </row>
    <row r="229">
      <c r="A229" s="42" t="s">
        <v>269</v>
      </c>
      <c r="B229" s="42" t="s">
        <v>51</v>
      </c>
      <c r="C229" s="72" t="s">
        <v>288</v>
      </c>
      <c r="D229" s="31">
        <f t="shared" si="5"/>
        <v>7</v>
      </c>
      <c r="E229" s="32">
        <f t="shared" si="6"/>
        <v>17</v>
      </c>
      <c r="F229" s="33">
        <f t="shared" si="7"/>
        <v>32</v>
      </c>
      <c r="G229" s="34">
        <v>2.0</v>
      </c>
      <c r="H229" s="28">
        <v>2025.0</v>
      </c>
      <c r="I229" s="35">
        <f t="shared" si="4"/>
        <v>2</v>
      </c>
      <c r="J229" s="39" t="s">
        <v>64</v>
      </c>
      <c r="K229" s="40"/>
      <c r="L229" s="40"/>
      <c r="M229" s="41"/>
    </row>
    <row r="230" hidden="1">
      <c r="A230" s="28"/>
      <c r="B230" s="42" t="s">
        <v>51</v>
      </c>
      <c r="C230" s="72" t="s">
        <v>289</v>
      </c>
      <c r="D230" s="31">
        <f t="shared" si="5"/>
        <v>18</v>
      </c>
      <c r="E230" s="32">
        <f t="shared" si="6"/>
        <v>28</v>
      </c>
      <c r="F230" s="33">
        <f t="shared" si="7"/>
        <v>43</v>
      </c>
      <c r="G230" s="43">
        <v>13.0</v>
      </c>
      <c r="H230" s="42">
        <v>2025.0</v>
      </c>
      <c r="I230" s="35">
        <f t="shared" si="4"/>
        <v>2</v>
      </c>
      <c r="J230" s="36" t="s">
        <v>48</v>
      </c>
      <c r="K230" s="40"/>
      <c r="L230" s="40"/>
      <c r="M230" s="41"/>
    </row>
    <row r="231">
      <c r="A231" s="42" t="s">
        <v>269</v>
      </c>
      <c r="B231" s="28" t="s">
        <v>51</v>
      </c>
      <c r="C231" s="72" t="s">
        <v>290</v>
      </c>
      <c r="D231" s="31">
        <f t="shared" si="5"/>
        <v>7</v>
      </c>
      <c r="E231" s="32">
        <f t="shared" si="6"/>
        <v>17</v>
      </c>
      <c r="F231" s="33">
        <f t="shared" si="7"/>
        <v>32</v>
      </c>
      <c r="G231" s="34">
        <v>2.0</v>
      </c>
      <c r="H231" s="28">
        <v>2025.0</v>
      </c>
      <c r="I231" s="35">
        <f t="shared" si="4"/>
        <v>2</v>
      </c>
      <c r="J231" s="39" t="s">
        <v>64</v>
      </c>
      <c r="K231" s="40"/>
      <c r="L231" s="40"/>
      <c r="M231" s="41"/>
    </row>
    <row r="232" hidden="1">
      <c r="A232" s="42"/>
      <c r="B232" s="28" t="s">
        <v>51</v>
      </c>
      <c r="C232" s="58" t="s">
        <v>291</v>
      </c>
      <c r="D232" s="31">
        <f t="shared" si="5"/>
        <v>6</v>
      </c>
      <c r="E232" s="32">
        <f t="shared" si="6"/>
        <v>16</v>
      </c>
      <c r="F232" s="33">
        <f t="shared" si="7"/>
        <v>31</v>
      </c>
      <c r="G232" s="34">
        <v>1.0</v>
      </c>
      <c r="H232" s="42">
        <v>2025.0</v>
      </c>
      <c r="I232" s="35">
        <f t="shared" si="4"/>
        <v>2</v>
      </c>
      <c r="J232" s="51" t="s">
        <v>48</v>
      </c>
      <c r="K232" s="40"/>
      <c r="L232" s="40"/>
      <c r="M232" s="41"/>
    </row>
    <row r="233">
      <c r="A233" s="28" t="s">
        <v>269</v>
      </c>
      <c r="B233" s="28" t="s">
        <v>46</v>
      </c>
      <c r="C233" s="72" t="s">
        <v>292</v>
      </c>
      <c r="D233" s="31">
        <f t="shared" si="5"/>
        <v>7</v>
      </c>
      <c r="E233" s="32">
        <f t="shared" si="6"/>
        <v>17</v>
      </c>
      <c r="F233" s="33">
        <f t="shared" si="7"/>
        <v>32</v>
      </c>
      <c r="G233" s="34">
        <v>2.0</v>
      </c>
      <c r="H233" s="28">
        <v>2025.0</v>
      </c>
      <c r="I233" s="35">
        <f t="shared" si="4"/>
        <v>2</v>
      </c>
      <c r="J233" s="39" t="s">
        <v>64</v>
      </c>
      <c r="K233" s="40"/>
      <c r="L233" s="40"/>
      <c r="M233" s="41"/>
    </row>
    <row r="234" hidden="1">
      <c r="A234" s="35"/>
      <c r="B234" s="74" t="s">
        <v>51</v>
      </c>
      <c r="C234" s="71" t="s">
        <v>293</v>
      </c>
      <c r="D234" s="31">
        <f t="shared" si="5"/>
        <v>63</v>
      </c>
      <c r="E234" s="32">
        <f t="shared" si="6"/>
        <v>88</v>
      </c>
      <c r="F234" s="33">
        <f t="shared" si="7"/>
        <v>118</v>
      </c>
      <c r="G234" s="65">
        <v>13.0</v>
      </c>
      <c r="H234" s="35">
        <v>2022.0</v>
      </c>
      <c r="I234" s="35">
        <f t="shared" si="4"/>
        <v>5</v>
      </c>
      <c r="J234" s="45" t="s">
        <v>48</v>
      </c>
      <c r="K234" s="40"/>
      <c r="L234" s="40"/>
      <c r="M234" s="41"/>
    </row>
    <row r="235" hidden="1">
      <c r="A235" s="28"/>
      <c r="B235" s="29" t="s">
        <v>51</v>
      </c>
      <c r="C235" s="59" t="s">
        <v>294</v>
      </c>
      <c r="D235" s="31">
        <f t="shared" si="5"/>
        <v>25</v>
      </c>
      <c r="E235" s="32">
        <f t="shared" si="6"/>
        <v>35</v>
      </c>
      <c r="F235" s="33">
        <f t="shared" si="7"/>
        <v>50</v>
      </c>
      <c r="G235" s="34">
        <v>20.0</v>
      </c>
      <c r="H235" s="28">
        <v>2025.0</v>
      </c>
      <c r="I235" s="35">
        <f t="shared" si="4"/>
        <v>2</v>
      </c>
      <c r="J235" s="39" t="s">
        <v>48</v>
      </c>
      <c r="K235" s="40"/>
      <c r="L235" s="40"/>
      <c r="M235" s="41"/>
    </row>
    <row r="236">
      <c r="A236" s="28" t="s">
        <v>269</v>
      </c>
      <c r="B236" s="28" t="s">
        <v>55</v>
      </c>
      <c r="C236" s="72" t="s">
        <v>295</v>
      </c>
      <c r="D236" s="31">
        <f t="shared" si="5"/>
        <v>7</v>
      </c>
      <c r="E236" s="32">
        <f t="shared" si="6"/>
        <v>17</v>
      </c>
      <c r="F236" s="33">
        <f t="shared" si="7"/>
        <v>32</v>
      </c>
      <c r="G236" s="34">
        <v>2.0</v>
      </c>
      <c r="H236" s="28">
        <v>2025.0</v>
      </c>
      <c r="I236" s="35">
        <f t="shared" si="4"/>
        <v>2</v>
      </c>
      <c r="J236" s="39" t="s">
        <v>64</v>
      </c>
      <c r="K236" s="40"/>
      <c r="L236" s="40"/>
      <c r="M236" s="41"/>
    </row>
    <row r="237">
      <c r="A237" s="28" t="s">
        <v>269</v>
      </c>
      <c r="B237" s="29" t="s">
        <v>46</v>
      </c>
      <c r="C237" s="72" t="s">
        <v>296</v>
      </c>
      <c r="D237" s="31">
        <f t="shared" si="5"/>
        <v>7</v>
      </c>
      <c r="E237" s="32">
        <f t="shared" si="6"/>
        <v>17</v>
      </c>
      <c r="F237" s="33">
        <f t="shared" si="7"/>
        <v>32</v>
      </c>
      <c r="G237" s="34">
        <v>2.0</v>
      </c>
      <c r="H237" s="28">
        <v>2025.0</v>
      </c>
      <c r="I237" s="35">
        <f t="shared" si="4"/>
        <v>2</v>
      </c>
      <c r="J237" s="39" t="s">
        <v>64</v>
      </c>
      <c r="K237" s="40"/>
      <c r="L237" s="40"/>
      <c r="M237" s="41"/>
    </row>
    <row r="238">
      <c r="A238" s="78" t="s">
        <v>297</v>
      </c>
      <c r="B238" s="56" t="s">
        <v>57</v>
      </c>
      <c r="C238" s="30" t="s">
        <v>72</v>
      </c>
      <c r="D238" s="31">
        <f t="shared" si="5"/>
        <v>2</v>
      </c>
      <c r="E238" s="32">
        <f t="shared" si="6"/>
        <v>7</v>
      </c>
      <c r="F238" s="33">
        <f t="shared" si="7"/>
        <v>17</v>
      </c>
      <c r="G238" s="57">
        <v>2.0</v>
      </c>
      <c r="H238" s="46">
        <v>2026.0</v>
      </c>
      <c r="I238" s="35">
        <f t="shared" si="4"/>
        <v>1</v>
      </c>
      <c r="J238" s="46" t="s">
        <v>57</v>
      </c>
      <c r="K238" s="40">
        <v>1.0</v>
      </c>
      <c r="L238" s="40">
        <v>2026.0</v>
      </c>
      <c r="M238" s="41" t="s">
        <v>298</v>
      </c>
    </row>
    <row r="239">
      <c r="A239" s="78" t="s">
        <v>297</v>
      </c>
      <c r="B239" s="56" t="s">
        <v>57</v>
      </c>
      <c r="C239" s="30" t="s">
        <v>74</v>
      </c>
      <c r="D239" s="31">
        <f t="shared" si="5"/>
        <v>1</v>
      </c>
      <c r="E239" s="32">
        <f t="shared" si="6"/>
        <v>6</v>
      </c>
      <c r="F239" s="33">
        <f t="shared" si="7"/>
        <v>16</v>
      </c>
      <c r="G239" s="57">
        <v>1.0</v>
      </c>
      <c r="H239" s="46">
        <v>2026.0</v>
      </c>
      <c r="I239" s="35">
        <f t="shared" si="4"/>
        <v>1</v>
      </c>
      <c r="J239" s="46" t="s">
        <v>57</v>
      </c>
      <c r="K239" s="40">
        <v>2.0</v>
      </c>
      <c r="L239" s="40">
        <v>2026.0</v>
      </c>
      <c r="M239" s="41"/>
    </row>
    <row r="240">
      <c r="A240" s="78" t="s">
        <v>297</v>
      </c>
      <c r="B240" s="56" t="s">
        <v>57</v>
      </c>
      <c r="C240" s="30" t="s">
        <v>74</v>
      </c>
      <c r="D240" s="31">
        <f t="shared" si="5"/>
        <v>1</v>
      </c>
      <c r="E240" s="32">
        <f t="shared" si="6"/>
        <v>6</v>
      </c>
      <c r="F240" s="33">
        <f t="shared" si="7"/>
        <v>16</v>
      </c>
      <c r="G240" s="57">
        <v>1.0</v>
      </c>
      <c r="H240" s="46">
        <v>2026.0</v>
      </c>
      <c r="I240" s="35">
        <f t="shared" si="4"/>
        <v>1</v>
      </c>
      <c r="J240" s="46" t="s">
        <v>57</v>
      </c>
      <c r="K240" s="40">
        <v>2.0</v>
      </c>
      <c r="L240" s="40">
        <v>2026.0</v>
      </c>
      <c r="M240" s="41"/>
    </row>
    <row r="241" hidden="1">
      <c r="A241" s="42"/>
      <c r="B241" s="29" t="s">
        <v>60</v>
      </c>
      <c r="C241" s="59" t="s">
        <v>299</v>
      </c>
      <c r="D241" s="31">
        <f t="shared" si="5"/>
        <v>17</v>
      </c>
      <c r="E241" s="32">
        <f t="shared" si="6"/>
        <v>27</v>
      </c>
      <c r="F241" s="33">
        <f t="shared" si="7"/>
        <v>42</v>
      </c>
      <c r="G241" s="34">
        <v>12.0</v>
      </c>
      <c r="H241" s="42">
        <v>2025.0</v>
      </c>
      <c r="I241" s="35">
        <f t="shared" si="4"/>
        <v>2</v>
      </c>
      <c r="J241" s="46" t="s">
        <v>48</v>
      </c>
      <c r="K241" s="40"/>
      <c r="L241" s="40"/>
      <c r="M241" s="41"/>
    </row>
    <row r="242">
      <c r="A242" s="35" t="s">
        <v>297</v>
      </c>
      <c r="B242" s="74" t="s">
        <v>46</v>
      </c>
      <c r="C242" s="81" t="s">
        <v>300</v>
      </c>
      <c r="D242" s="31">
        <f t="shared" si="5"/>
        <v>27</v>
      </c>
      <c r="E242" s="32">
        <f t="shared" si="6"/>
        <v>42</v>
      </c>
      <c r="F242" s="33">
        <f t="shared" si="7"/>
        <v>62</v>
      </c>
      <c r="G242" s="65">
        <v>12.0</v>
      </c>
      <c r="H242" s="35">
        <v>2024.0</v>
      </c>
      <c r="I242" s="35">
        <f t="shared" si="4"/>
        <v>3</v>
      </c>
      <c r="J242" s="45" t="s">
        <v>48</v>
      </c>
      <c r="K242" s="40">
        <v>2.0</v>
      </c>
      <c r="L242" s="40">
        <v>2025.0</v>
      </c>
      <c r="M242" s="41" t="s">
        <v>270</v>
      </c>
    </row>
    <row r="243" hidden="1">
      <c r="A243" s="28"/>
      <c r="B243" s="35" t="s">
        <v>46</v>
      </c>
      <c r="C243" s="71" t="s">
        <v>301</v>
      </c>
      <c r="D243" s="31">
        <f t="shared" si="5"/>
        <v>8</v>
      </c>
      <c r="E243" s="32">
        <f t="shared" si="6"/>
        <v>18</v>
      </c>
      <c r="F243" s="33">
        <f t="shared" si="7"/>
        <v>33</v>
      </c>
      <c r="G243" s="43">
        <v>3.0</v>
      </c>
      <c r="H243" s="42">
        <v>2025.0</v>
      </c>
      <c r="I243" s="35">
        <f t="shared" si="4"/>
        <v>2</v>
      </c>
      <c r="J243" s="36" t="s">
        <v>48</v>
      </c>
      <c r="K243" s="40"/>
      <c r="L243" s="40"/>
      <c r="M243" s="41"/>
    </row>
    <row r="244" hidden="1">
      <c r="A244" s="42"/>
      <c r="B244" s="66" t="s">
        <v>60</v>
      </c>
      <c r="C244" s="72" t="s">
        <v>302</v>
      </c>
      <c r="D244" s="31">
        <f t="shared" si="5"/>
        <v>8</v>
      </c>
      <c r="E244" s="32">
        <f t="shared" si="6"/>
        <v>18</v>
      </c>
      <c r="F244" s="33">
        <f t="shared" si="7"/>
        <v>33</v>
      </c>
      <c r="G244" s="43">
        <v>3.0</v>
      </c>
      <c r="H244" s="42">
        <v>2025.0</v>
      </c>
      <c r="I244" s="35">
        <f t="shared" si="4"/>
        <v>2</v>
      </c>
      <c r="J244" s="36" t="s">
        <v>48</v>
      </c>
      <c r="K244" s="40"/>
      <c r="L244" s="40"/>
      <c r="M244" s="41"/>
    </row>
    <row r="245" hidden="1">
      <c r="A245" s="28"/>
      <c r="B245" s="66" t="s">
        <v>55</v>
      </c>
      <c r="C245" s="72" t="s">
        <v>303</v>
      </c>
      <c r="D245" s="31">
        <f t="shared" si="5"/>
        <v>8</v>
      </c>
      <c r="E245" s="32">
        <f t="shared" si="6"/>
        <v>18</v>
      </c>
      <c r="F245" s="33">
        <f t="shared" si="7"/>
        <v>33</v>
      </c>
      <c r="G245" s="43">
        <v>3.0</v>
      </c>
      <c r="H245" s="28">
        <v>2025.0</v>
      </c>
      <c r="I245" s="35">
        <f t="shared" si="4"/>
        <v>2</v>
      </c>
      <c r="J245" s="39" t="s">
        <v>48</v>
      </c>
      <c r="K245" s="40"/>
      <c r="L245" s="40"/>
      <c r="M245" s="41"/>
    </row>
    <row r="246" hidden="1">
      <c r="A246" s="42"/>
      <c r="B246" s="28" t="s">
        <v>51</v>
      </c>
      <c r="C246" s="58" t="s">
        <v>304</v>
      </c>
      <c r="D246" s="31">
        <f t="shared" si="5"/>
        <v>7</v>
      </c>
      <c r="E246" s="32">
        <f t="shared" si="6"/>
        <v>17</v>
      </c>
      <c r="F246" s="33">
        <f t="shared" si="7"/>
        <v>32</v>
      </c>
      <c r="G246" s="34">
        <v>2.0</v>
      </c>
      <c r="H246" s="42">
        <v>2025.0</v>
      </c>
      <c r="I246" s="35">
        <f t="shared" si="4"/>
        <v>2</v>
      </c>
      <c r="J246" s="46" t="s">
        <v>57</v>
      </c>
      <c r="K246" s="40"/>
      <c r="L246" s="40"/>
      <c r="M246" s="41"/>
    </row>
    <row r="247" hidden="1">
      <c r="A247" s="28"/>
      <c r="B247" s="46" t="s">
        <v>51</v>
      </c>
      <c r="C247" s="30" t="s">
        <v>305</v>
      </c>
      <c r="D247" s="31">
        <f t="shared" si="5"/>
        <v>7</v>
      </c>
      <c r="E247" s="32">
        <f t="shared" si="6"/>
        <v>17</v>
      </c>
      <c r="F247" s="33">
        <f t="shared" si="7"/>
        <v>32</v>
      </c>
      <c r="G247" s="47">
        <v>2.0</v>
      </c>
      <c r="H247" s="28">
        <v>2025.0</v>
      </c>
      <c r="I247" s="35">
        <f t="shared" si="4"/>
        <v>2</v>
      </c>
      <c r="J247" s="39" t="s">
        <v>48</v>
      </c>
      <c r="K247" s="40"/>
      <c r="L247" s="40"/>
      <c r="M247" s="41"/>
    </row>
    <row r="248" hidden="1">
      <c r="A248" s="76"/>
      <c r="B248" s="28" t="s">
        <v>46</v>
      </c>
      <c r="C248" s="58" t="s">
        <v>306</v>
      </c>
      <c r="D248" s="31">
        <f t="shared" si="5"/>
        <v>7</v>
      </c>
      <c r="E248" s="32">
        <f t="shared" si="6"/>
        <v>17</v>
      </c>
      <c r="F248" s="33">
        <f t="shared" si="7"/>
        <v>32</v>
      </c>
      <c r="G248" s="34">
        <v>2.0</v>
      </c>
      <c r="H248" s="42">
        <v>2025.0</v>
      </c>
      <c r="I248" s="35">
        <f t="shared" si="4"/>
        <v>2</v>
      </c>
      <c r="J248" s="36" t="s">
        <v>48</v>
      </c>
      <c r="K248" s="40"/>
      <c r="L248" s="40"/>
      <c r="M248" s="41"/>
    </row>
    <row r="249" hidden="1">
      <c r="A249" s="76"/>
      <c r="B249" s="66" t="s">
        <v>51</v>
      </c>
      <c r="C249" s="72" t="s">
        <v>307</v>
      </c>
      <c r="D249" s="31">
        <f t="shared" si="5"/>
        <v>7</v>
      </c>
      <c r="E249" s="32">
        <f t="shared" si="6"/>
        <v>17</v>
      </c>
      <c r="F249" s="33">
        <f t="shared" si="7"/>
        <v>32</v>
      </c>
      <c r="G249" s="43">
        <v>2.0</v>
      </c>
      <c r="H249" s="42">
        <v>2025.0</v>
      </c>
      <c r="I249" s="35">
        <f t="shared" si="4"/>
        <v>2</v>
      </c>
      <c r="J249" s="36" t="s">
        <v>48</v>
      </c>
      <c r="K249" s="40"/>
      <c r="L249" s="40"/>
      <c r="M249" s="41"/>
    </row>
    <row r="250" hidden="1">
      <c r="A250" s="28"/>
      <c r="B250" s="66" t="s">
        <v>46</v>
      </c>
      <c r="C250" s="72" t="s">
        <v>308</v>
      </c>
      <c r="D250" s="31">
        <f t="shared" si="5"/>
        <v>7</v>
      </c>
      <c r="E250" s="32">
        <f t="shared" si="6"/>
        <v>17</v>
      </c>
      <c r="F250" s="33">
        <f t="shared" si="7"/>
        <v>32</v>
      </c>
      <c r="G250" s="43">
        <v>2.0</v>
      </c>
      <c r="H250" s="28">
        <v>2025.0</v>
      </c>
      <c r="I250" s="35">
        <f t="shared" si="4"/>
        <v>2</v>
      </c>
      <c r="J250" s="36" t="s">
        <v>48</v>
      </c>
      <c r="K250" s="40"/>
      <c r="L250" s="40"/>
      <c r="M250" s="41"/>
    </row>
    <row r="251" hidden="1">
      <c r="A251" s="28"/>
      <c r="B251" s="29" t="s">
        <v>55</v>
      </c>
      <c r="C251" s="58" t="s">
        <v>309</v>
      </c>
      <c r="D251" s="31">
        <f t="shared" si="5"/>
        <v>6</v>
      </c>
      <c r="E251" s="32">
        <f t="shared" si="6"/>
        <v>16</v>
      </c>
      <c r="F251" s="33">
        <f t="shared" si="7"/>
        <v>31</v>
      </c>
      <c r="G251" s="34">
        <v>1.0</v>
      </c>
      <c r="H251" s="42">
        <v>2025.0</v>
      </c>
      <c r="I251" s="35">
        <f t="shared" si="4"/>
        <v>2</v>
      </c>
      <c r="J251" s="36" t="s">
        <v>48</v>
      </c>
      <c r="K251" s="40"/>
      <c r="L251" s="40"/>
      <c r="M251" s="41"/>
    </row>
    <row r="252">
      <c r="A252" s="28" t="s">
        <v>297</v>
      </c>
      <c r="B252" s="28" t="s">
        <v>46</v>
      </c>
      <c r="C252" s="81" t="s">
        <v>310</v>
      </c>
      <c r="D252" s="31">
        <f t="shared" si="5"/>
        <v>17</v>
      </c>
      <c r="E252" s="32">
        <f t="shared" si="6"/>
        <v>32</v>
      </c>
      <c r="F252" s="33">
        <f t="shared" si="7"/>
        <v>52</v>
      </c>
      <c r="G252" s="34">
        <v>2.0</v>
      </c>
      <c r="H252" s="28">
        <v>2024.0</v>
      </c>
      <c r="I252" s="35">
        <f t="shared" si="4"/>
        <v>3</v>
      </c>
      <c r="J252" s="39" t="s">
        <v>19</v>
      </c>
      <c r="K252" s="40">
        <v>1.0</v>
      </c>
      <c r="L252" s="40">
        <v>2024.0</v>
      </c>
      <c r="M252" s="41"/>
    </row>
    <row r="253">
      <c r="A253" s="42" t="s">
        <v>297</v>
      </c>
      <c r="B253" s="66" t="s">
        <v>55</v>
      </c>
      <c r="C253" s="81" t="s">
        <v>311</v>
      </c>
      <c r="D253" s="31">
        <f t="shared" si="5"/>
        <v>17</v>
      </c>
      <c r="E253" s="32">
        <f t="shared" si="6"/>
        <v>32</v>
      </c>
      <c r="F253" s="33">
        <f t="shared" si="7"/>
        <v>52</v>
      </c>
      <c r="G253" s="43">
        <v>2.0</v>
      </c>
      <c r="H253" s="44">
        <v>2024.0</v>
      </c>
      <c r="I253" s="35">
        <f t="shared" si="4"/>
        <v>3</v>
      </c>
      <c r="J253" s="46" t="s">
        <v>64</v>
      </c>
      <c r="K253" s="40"/>
      <c r="L253" s="40"/>
      <c r="M253" s="41"/>
    </row>
    <row r="254">
      <c r="A254" s="42" t="s">
        <v>297</v>
      </c>
      <c r="B254" s="44" t="s">
        <v>55</v>
      </c>
      <c r="C254" s="81" t="s">
        <v>312</v>
      </c>
      <c r="D254" s="31">
        <f t="shared" si="5"/>
        <v>16</v>
      </c>
      <c r="E254" s="32">
        <f t="shared" si="6"/>
        <v>31</v>
      </c>
      <c r="F254" s="33">
        <f t="shared" si="7"/>
        <v>51</v>
      </c>
      <c r="G254" s="65">
        <v>1.0</v>
      </c>
      <c r="H254" s="35">
        <v>2024.0</v>
      </c>
      <c r="I254" s="35">
        <f t="shared" si="4"/>
        <v>3</v>
      </c>
      <c r="J254" s="45" t="s">
        <v>19</v>
      </c>
      <c r="K254" s="40">
        <v>2.0</v>
      </c>
      <c r="L254" s="40">
        <v>2024.0</v>
      </c>
      <c r="M254" s="41"/>
    </row>
    <row r="255">
      <c r="A255" s="42" t="s">
        <v>297</v>
      </c>
      <c r="B255" s="50" t="s">
        <v>51</v>
      </c>
      <c r="C255" s="81" t="s">
        <v>313</v>
      </c>
      <c r="D255" s="31">
        <f t="shared" si="5"/>
        <v>27</v>
      </c>
      <c r="E255" s="32">
        <f t="shared" si="6"/>
        <v>37</v>
      </c>
      <c r="F255" s="33">
        <f t="shared" si="7"/>
        <v>52</v>
      </c>
      <c r="G255" s="34">
        <v>22.0</v>
      </c>
      <c r="H255" s="42">
        <v>2025.0</v>
      </c>
      <c r="I255" s="35">
        <f t="shared" si="4"/>
        <v>2</v>
      </c>
      <c r="J255" s="46" t="s">
        <v>48</v>
      </c>
      <c r="K255" s="37"/>
      <c r="L255" s="37"/>
      <c r="M255" s="38"/>
    </row>
    <row r="256">
      <c r="A256" s="42" t="s">
        <v>297</v>
      </c>
      <c r="B256" s="29" t="s">
        <v>51</v>
      </c>
      <c r="C256" s="81" t="s">
        <v>314</v>
      </c>
      <c r="D256" s="31">
        <f t="shared" si="5"/>
        <v>21</v>
      </c>
      <c r="E256" s="32">
        <f t="shared" si="6"/>
        <v>31</v>
      </c>
      <c r="F256" s="33">
        <f t="shared" si="7"/>
        <v>46</v>
      </c>
      <c r="G256" s="34">
        <v>16.0</v>
      </c>
      <c r="H256" s="42">
        <v>2025.0</v>
      </c>
      <c r="I256" s="35">
        <f t="shared" si="4"/>
        <v>2</v>
      </c>
      <c r="J256" s="51" t="s">
        <v>48</v>
      </c>
      <c r="K256" s="40"/>
      <c r="L256" s="40"/>
      <c r="M256" s="41"/>
    </row>
    <row r="257" hidden="1">
      <c r="A257" s="28"/>
      <c r="B257" s="28" t="s">
        <v>51</v>
      </c>
      <c r="C257" s="58" t="s">
        <v>315</v>
      </c>
      <c r="D257" s="31">
        <f t="shared" si="5"/>
        <v>6</v>
      </c>
      <c r="E257" s="32">
        <f t="shared" si="6"/>
        <v>16</v>
      </c>
      <c r="F257" s="33">
        <f t="shared" si="7"/>
        <v>31</v>
      </c>
      <c r="G257" s="34">
        <v>1.0</v>
      </c>
      <c r="H257" s="28">
        <v>2025.0</v>
      </c>
      <c r="I257" s="35">
        <f t="shared" si="4"/>
        <v>2</v>
      </c>
      <c r="J257" s="39" t="s">
        <v>48</v>
      </c>
      <c r="K257" s="40"/>
      <c r="L257" s="40"/>
      <c r="M257" s="41"/>
    </row>
    <row r="258">
      <c r="A258" s="42" t="s">
        <v>297</v>
      </c>
      <c r="B258" s="29" t="s">
        <v>46</v>
      </c>
      <c r="C258" s="81" t="s">
        <v>316</v>
      </c>
      <c r="D258" s="31">
        <f t="shared" si="5"/>
        <v>21</v>
      </c>
      <c r="E258" s="32">
        <f t="shared" si="6"/>
        <v>31</v>
      </c>
      <c r="F258" s="33">
        <f t="shared" si="7"/>
        <v>46</v>
      </c>
      <c r="G258" s="34">
        <v>16.0</v>
      </c>
      <c r="H258" s="42">
        <v>2025.0</v>
      </c>
      <c r="I258" s="35">
        <f t="shared" si="4"/>
        <v>2</v>
      </c>
      <c r="J258" s="46" t="s">
        <v>48</v>
      </c>
      <c r="K258" s="40"/>
      <c r="L258" s="40"/>
      <c r="M258" s="41"/>
    </row>
    <row r="259">
      <c r="A259" s="42" t="s">
        <v>297</v>
      </c>
      <c r="B259" s="42" t="s">
        <v>46</v>
      </c>
      <c r="C259" s="81" t="s">
        <v>317</v>
      </c>
      <c r="D259" s="31">
        <f t="shared" si="5"/>
        <v>20</v>
      </c>
      <c r="E259" s="32">
        <f t="shared" si="6"/>
        <v>30</v>
      </c>
      <c r="F259" s="33">
        <f t="shared" si="7"/>
        <v>45</v>
      </c>
      <c r="G259" s="43">
        <v>15.0</v>
      </c>
      <c r="H259" s="42">
        <v>2025.0</v>
      </c>
      <c r="I259" s="35">
        <f t="shared" si="4"/>
        <v>2</v>
      </c>
      <c r="J259" s="46" t="s">
        <v>48</v>
      </c>
      <c r="K259" s="48"/>
      <c r="L259" s="48"/>
      <c r="M259" s="49"/>
    </row>
    <row r="260" hidden="1">
      <c r="A260" s="28"/>
      <c r="B260" s="28" t="s">
        <v>46</v>
      </c>
      <c r="C260" s="58" t="s">
        <v>318</v>
      </c>
      <c r="D260" s="31">
        <f t="shared" si="5"/>
        <v>6</v>
      </c>
      <c r="E260" s="32">
        <f t="shared" si="6"/>
        <v>16</v>
      </c>
      <c r="F260" s="33">
        <f t="shared" si="7"/>
        <v>31</v>
      </c>
      <c r="G260" s="34">
        <v>1.0</v>
      </c>
      <c r="H260" s="28">
        <v>2025.0</v>
      </c>
      <c r="I260" s="35">
        <f t="shared" si="4"/>
        <v>2</v>
      </c>
      <c r="J260" s="39" t="s">
        <v>48</v>
      </c>
      <c r="K260" s="40"/>
      <c r="L260" s="40"/>
      <c r="M260" s="41"/>
    </row>
    <row r="261" hidden="1">
      <c r="A261" s="28"/>
      <c r="B261" s="28" t="s">
        <v>46</v>
      </c>
      <c r="C261" s="58" t="s">
        <v>319</v>
      </c>
      <c r="D261" s="31">
        <f t="shared" si="5"/>
        <v>6</v>
      </c>
      <c r="E261" s="32">
        <f t="shared" si="6"/>
        <v>16</v>
      </c>
      <c r="F261" s="33">
        <f t="shared" si="7"/>
        <v>31</v>
      </c>
      <c r="G261" s="34">
        <v>1.0</v>
      </c>
      <c r="H261" s="28">
        <v>2025.0</v>
      </c>
      <c r="I261" s="35">
        <f t="shared" si="4"/>
        <v>2</v>
      </c>
      <c r="J261" s="36" t="s">
        <v>48</v>
      </c>
      <c r="K261" s="40"/>
      <c r="L261" s="40"/>
      <c r="M261" s="41"/>
    </row>
    <row r="262" hidden="1">
      <c r="A262" s="28"/>
      <c r="B262" s="28" t="s">
        <v>60</v>
      </c>
      <c r="C262" s="58" t="s">
        <v>320</v>
      </c>
      <c r="D262" s="31">
        <f t="shared" si="5"/>
        <v>6</v>
      </c>
      <c r="E262" s="32">
        <f t="shared" si="6"/>
        <v>16</v>
      </c>
      <c r="F262" s="33">
        <f t="shared" si="7"/>
        <v>31</v>
      </c>
      <c r="G262" s="34">
        <v>1.0</v>
      </c>
      <c r="H262" s="28">
        <v>2025.0</v>
      </c>
      <c r="I262" s="35">
        <f t="shared" si="4"/>
        <v>2</v>
      </c>
      <c r="J262" s="36" t="s">
        <v>48</v>
      </c>
      <c r="K262" s="40"/>
      <c r="L262" s="40"/>
      <c r="M262" s="41"/>
    </row>
    <row r="263" hidden="1">
      <c r="A263" s="28"/>
      <c r="B263" s="42" t="s">
        <v>46</v>
      </c>
      <c r="C263" s="72" t="s">
        <v>321</v>
      </c>
      <c r="D263" s="31">
        <f t="shared" si="5"/>
        <v>6</v>
      </c>
      <c r="E263" s="32">
        <f t="shared" si="6"/>
        <v>16</v>
      </c>
      <c r="F263" s="33">
        <f t="shared" si="7"/>
        <v>31</v>
      </c>
      <c r="G263" s="43">
        <v>1.0</v>
      </c>
      <c r="H263" s="28">
        <v>2025.0</v>
      </c>
      <c r="I263" s="35">
        <f t="shared" si="4"/>
        <v>2</v>
      </c>
      <c r="J263" s="36" t="s">
        <v>48</v>
      </c>
      <c r="K263" s="40"/>
      <c r="L263" s="40"/>
      <c r="M263" s="41"/>
    </row>
    <row r="264" hidden="1">
      <c r="A264" s="28"/>
      <c r="B264" s="28" t="s">
        <v>46</v>
      </c>
      <c r="C264" s="58" t="s">
        <v>322</v>
      </c>
      <c r="D264" s="31">
        <f t="shared" si="5"/>
        <v>6</v>
      </c>
      <c r="E264" s="32">
        <f t="shared" si="6"/>
        <v>16</v>
      </c>
      <c r="F264" s="33">
        <f t="shared" si="7"/>
        <v>31</v>
      </c>
      <c r="G264" s="34">
        <v>1.0</v>
      </c>
      <c r="H264" s="28">
        <v>2025.0</v>
      </c>
      <c r="I264" s="35">
        <f t="shared" si="4"/>
        <v>2</v>
      </c>
      <c r="J264" s="36" t="s">
        <v>48</v>
      </c>
      <c r="K264" s="40"/>
      <c r="L264" s="40"/>
      <c r="M264" s="41"/>
    </row>
    <row r="265">
      <c r="A265" s="42" t="s">
        <v>297</v>
      </c>
      <c r="B265" s="28" t="s">
        <v>51</v>
      </c>
      <c r="C265" s="81" t="s">
        <v>323</v>
      </c>
      <c r="D265" s="31">
        <f t="shared" si="5"/>
        <v>9</v>
      </c>
      <c r="E265" s="32">
        <f t="shared" si="6"/>
        <v>19</v>
      </c>
      <c r="F265" s="33">
        <f t="shared" si="7"/>
        <v>34</v>
      </c>
      <c r="G265" s="34">
        <v>4.0</v>
      </c>
      <c r="H265" s="42">
        <v>2025.0</v>
      </c>
      <c r="I265" s="35">
        <f t="shared" si="4"/>
        <v>2</v>
      </c>
      <c r="J265" s="46" t="s">
        <v>48</v>
      </c>
      <c r="K265" s="40"/>
      <c r="L265" s="40"/>
      <c r="M265" s="41"/>
    </row>
    <row r="266" hidden="1">
      <c r="A266" s="28"/>
      <c r="B266" s="42" t="s">
        <v>51</v>
      </c>
      <c r="C266" s="72" t="s">
        <v>324</v>
      </c>
      <c r="D266" s="31">
        <f t="shared" si="5"/>
        <v>6</v>
      </c>
      <c r="E266" s="32">
        <f t="shared" si="6"/>
        <v>16</v>
      </c>
      <c r="F266" s="33">
        <f t="shared" si="7"/>
        <v>31</v>
      </c>
      <c r="G266" s="43">
        <v>1.0</v>
      </c>
      <c r="H266" s="28">
        <v>2025.0</v>
      </c>
      <c r="I266" s="35">
        <f t="shared" si="4"/>
        <v>2</v>
      </c>
      <c r="J266" s="39" t="s">
        <v>48</v>
      </c>
      <c r="K266" s="40"/>
      <c r="L266" s="40"/>
      <c r="M266" s="41"/>
    </row>
    <row r="267">
      <c r="A267" s="42" t="s">
        <v>297</v>
      </c>
      <c r="B267" s="29" t="s">
        <v>55</v>
      </c>
      <c r="C267" s="81" t="s">
        <v>325</v>
      </c>
      <c r="D267" s="31">
        <f t="shared" si="5"/>
        <v>8</v>
      </c>
      <c r="E267" s="32">
        <f t="shared" si="6"/>
        <v>18</v>
      </c>
      <c r="F267" s="33">
        <f t="shared" si="7"/>
        <v>33</v>
      </c>
      <c r="G267" s="34">
        <v>3.0</v>
      </c>
      <c r="H267" s="42">
        <v>2025.0</v>
      </c>
      <c r="I267" s="35">
        <f t="shared" si="4"/>
        <v>2</v>
      </c>
      <c r="J267" s="51" t="s">
        <v>48</v>
      </c>
      <c r="K267" s="40"/>
      <c r="L267" s="40"/>
      <c r="M267" s="41"/>
    </row>
    <row r="268">
      <c r="A268" s="28" t="s">
        <v>297</v>
      </c>
      <c r="B268" s="46" t="s">
        <v>46</v>
      </c>
      <c r="C268" s="81" t="s">
        <v>326</v>
      </c>
      <c r="D268" s="31">
        <f t="shared" si="5"/>
        <v>7</v>
      </c>
      <c r="E268" s="32">
        <f t="shared" si="6"/>
        <v>17</v>
      </c>
      <c r="F268" s="33">
        <f t="shared" si="7"/>
        <v>32</v>
      </c>
      <c r="G268" s="47">
        <v>2.0</v>
      </c>
      <c r="H268" s="42">
        <v>2025.0</v>
      </c>
      <c r="I268" s="35">
        <f t="shared" si="4"/>
        <v>2</v>
      </c>
      <c r="J268" s="46" t="s">
        <v>57</v>
      </c>
      <c r="K268" s="40">
        <v>1.0</v>
      </c>
      <c r="L268" s="40">
        <v>2025.0</v>
      </c>
      <c r="M268" s="41"/>
    </row>
    <row r="269">
      <c r="A269" s="28" t="s">
        <v>297</v>
      </c>
      <c r="B269" s="46" t="s">
        <v>60</v>
      </c>
      <c r="C269" s="81" t="s">
        <v>327</v>
      </c>
      <c r="D269" s="31">
        <f t="shared" si="5"/>
        <v>7</v>
      </c>
      <c r="E269" s="32">
        <f t="shared" si="6"/>
        <v>17</v>
      </c>
      <c r="F269" s="33">
        <f t="shared" si="7"/>
        <v>32</v>
      </c>
      <c r="G269" s="47">
        <v>2.0</v>
      </c>
      <c r="H269" s="42">
        <v>2025.0</v>
      </c>
      <c r="I269" s="35">
        <f t="shared" si="4"/>
        <v>2</v>
      </c>
      <c r="J269" s="46" t="s">
        <v>57</v>
      </c>
      <c r="K269" s="40">
        <v>1.0</v>
      </c>
      <c r="L269" s="40">
        <v>2025.0</v>
      </c>
      <c r="M269" s="41"/>
    </row>
    <row r="270">
      <c r="A270" s="28" t="s">
        <v>297</v>
      </c>
      <c r="B270" s="46" t="s">
        <v>51</v>
      </c>
      <c r="C270" s="81" t="s">
        <v>328</v>
      </c>
      <c r="D270" s="31">
        <f t="shared" si="5"/>
        <v>7</v>
      </c>
      <c r="E270" s="32">
        <f t="shared" si="6"/>
        <v>17</v>
      </c>
      <c r="F270" s="33">
        <f t="shared" si="7"/>
        <v>32</v>
      </c>
      <c r="G270" s="47">
        <v>2.0</v>
      </c>
      <c r="H270" s="42">
        <v>2025.0</v>
      </c>
      <c r="I270" s="35">
        <f t="shared" si="4"/>
        <v>2</v>
      </c>
      <c r="J270" s="46" t="s">
        <v>57</v>
      </c>
      <c r="K270" s="40">
        <v>2.0</v>
      </c>
      <c r="L270" s="40">
        <v>2025.0</v>
      </c>
      <c r="M270" s="41"/>
    </row>
    <row r="271" hidden="1">
      <c r="A271" s="42"/>
      <c r="B271" s="66" t="s">
        <v>46</v>
      </c>
      <c r="C271" s="72" t="s">
        <v>329</v>
      </c>
      <c r="D271" s="31">
        <f t="shared" si="5"/>
        <v>6</v>
      </c>
      <c r="E271" s="32">
        <f t="shared" si="6"/>
        <v>16</v>
      </c>
      <c r="F271" s="33">
        <f t="shared" si="7"/>
        <v>31</v>
      </c>
      <c r="G271" s="43">
        <v>1.0</v>
      </c>
      <c r="H271" s="42">
        <v>2025.0</v>
      </c>
      <c r="I271" s="35">
        <f t="shared" si="4"/>
        <v>2</v>
      </c>
      <c r="J271" s="51" t="s">
        <v>48</v>
      </c>
      <c r="K271" s="40"/>
      <c r="L271" s="40"/>
      <c r="M271" s="41"/>
    </row>
    <row r="272">
      <c r="A272" s="28" t="s">
        <v>297</v>
      </c>
      <c r="B272" s="46" t="s">
        <v>51</v>
      </c>
      <c r="C272" s="81" t="s">
        <v>330</v>
      </c>
      <c r="D272" s="31">
        <f t="shared" si="5"/>
        <v>7</v>
      </c>
      <c r="E272" s="32">
        <f t="shared" si="6"/>
        <v>17</v>
      </c>
      <c r="F272" s="33">
        <f t="shared" si="7"/>
        <v>32</v>
      </c>
      <c r="G272" s="47">
        <v>2.0</v>
      </c>
      <c r="H272" s="42">
        <v>2025.0</v>
      </c>
      <c r="I272" s="35">
        <f t="shared" si="4"/>
        <v>2</v>
      </c>
      <c r="J272" s="46" t="s">
        <v>57</v>
      </c>
      <c r="K272" s="40">
        <v>1.0</v>
      </c>
      <c r="L272" s="40">
        <v>2025.0</v>
      </c>
      <c r="M272" s="41" t="s">
        <v>53</v>
      </c>
    </row>
    <row r="273" hidden="1">
      <c r="A273" s="42"/>
      <c r="B273" s="66" t="s">
        <v>46</v>
      </c>
      <c r="C273" s="72" t="s">
        <v>331</v>
      </c>
      <c r="D273" s="31">
        <f t="shared" si="5"/>
        <v>6</v>
      </c>
      <c r="E273" s="32">
        <f t="shared" si="6"/>
        <v>16</v>
      </c>
      <c r="F273" s="33">
        <f t="shared" si="7"/>
        <v>31</v>
      </c>
      <c r="G273" s="43">
        <v>1.0</v>
      </c>
      <c r="H273" s="42">
        <v>2025.0</v>
      </c>
      <c r="I273" s="35">
        <f t="shared" si="4"/>
        <v>2</v>
      </c>
      <c r="J273" s="51" t="s">
        <v>48</v>
      </c>
      <c r="K273" s="40"/>
      <c r="L273" s="40"/>
      <c r="M273" s="41"/>
    </row>
    <row r="274">
      <c r="A274" s="28" t="s">
        <v>297</v>
      </c>
      <c r="B274" s="46" t="s">
        <v>46</v>
      </c>
      <c r="C274" s="81" t="s">
        <v>332</v>
      </c>
      <c r="D274" s="31">
        <f t="shared" si="5"/>
        <v>6</v>
      </c>
      <c r="E274" s="32">
        <f t="shared" si="6"/>
        <v>16</v>
      </c>
      <c r="F274" s="33">
        <f t="shared" si="7"/>
        <v>31</v>
      </c>
      <c r="G274" s="47">
        <v>1.0</v>
      </c>
      <c r="H274" s="42">
        <v>2025.0</v>
      </c>
      <c r="I274" s="35">
        <f t="shared" si="4"/>
        <v>2</v>
      </c>
      <c r="J274" s="46" t="s">
        <v>57</v>
      </c>
      <c r="K274" s="40">
        <v>2.0</v>
      </c>
      <c r="L274" s="40">
        <v>2025.0</v>
      </c>
      <c r="M274" s="41"/>
    </row>
    <row r="275" hidden="1">
      <c r="A275" s="28"/>
      <c r="B275" s="66" t="s">
        <v>60</v>
      </c>
      <c r="C275" s="72" t="s">
        <v>333</v>
      </c>
      <c r="D275" s="31">
        <f t="shared" si="5"/>
        <v>6</v>
      </c>
      <c r="E275" s="32">
        <f t="shared" si="6"/>
        <v>16</v>
      </c>
      <c r="F275" s="33">
        <f t="shared" si="7"/>
        <v>31</v>
      </c>
      <c r="G275" s="43">
        <v>1.0</v>
      </c>
      <c r="H275" s="28">
        <v>2025.0</v>
      </c>
      <c r="I275" s="35">
        <f t="shared" si="4"/>
        <v>2</v>
      </c>
      <c r="J275" s="36" t="s">
        <v>48</v>
      </c>
      <c r="K275" s="40"/>
      <c r="L275" s="40"/>
      <c r="M275" s="41"/>
    </row>
    <row r="276" hidden="1">
      <c r="A276" s="28"/>
      <c r="B276" s="28" t="s">
        <v>51</v>
      </c>
      <c r="C276" s="58" t="s">
        <v>334</v>
      </c>
      <c r="D276" s="31">
        <f t="shared" si="5"/>
        <v>6</v>
      </c>
      <c r="E276" s="32">
        <f t="shared" si="6"/>
        <v>16</v>
      </c>
      <c r="F276" s="33">
        <f t="shared" si="7"/>
        <v>31</v>
      </c>
      <c r="G276" s="34">
        <v>1.0</v>
      </c>
      <c r="H276" s="28">
        <v>2025.0</v>
      </c>
      <c r="I276" s="35">
        <f t="shared" si="4"/>
        <v>2</v>
      </c>
      <c r="J276" s="36" t="s">
        <v>48</v>
      </c>
      <c r="K276" s="48"/>
      <c r="L276" s="48"/>
      <c r="M276" s="49"/>
    </row>
    <row r="277" hidden="1">
      <c r="A277" s="29"/>
      <c r="B277" s="46" t="s">
        <v>60</v>
      </c>
      <c r="C277" s="30" t="s">
        <v>335</v>
      </c>
      <c r="D277" s="31">
        <f t="shared" si="5"/>
        <v>6</v>
      </c>
      <c r="E277" s="32">
        <f t="shared" si="6"/>
        <v>16</v>
      </c>
      <c r="F277" s="33">
        <f t="shared" si="7"/>
        <v>31</v>
      </c>
      <c r="G277" s="47">
        <v>1.0</v>
      </c>
      <c r="H277" s="42">
        <v>2025.0</v>
      </c>
      <c r="I277" s="35">
        <f t="shared" si="4"/>
        <v>2</v>
      </c>
      <c r="J277" s="46" t="s">
        <v>57</v>
      </c>
      <c r="K277" s="40">
        <v>2.0</v>
      </c>
      <c r="L277" s="40">
        <v>2025.0</v>
      </c>
      <c r="M277" s="41" t="s">
        <v>127</v>
      </c>
    </row>
    <row r="278">
      <c r="A278" s="42" t="s">
        <v>297</v>
      </c>
      <c r="B278" s="29" t="s">
        <v>51</v>
      </c>
      <c r="C278" s="81" t="s">
        <v>336</v>
      </c>
      <c r="D278" s="31">
        <f t="shared" si="5"/>
        <v>7</v>
      </c>
      <c r="E278" s="32">
        <f t="shared" si="6"/>
        <v>17</v>
      </c>
      <c r="F278" s="33">
        <f t="shared" si="7"/>
        <v>32</v>
      </c>
      <c r="G278" s="34">
        <v>2.0</v>
      </c>
      <c r="H278" s="42">
        <v>2025.0</v>
      </c>
      <c r="I278" s="35">
        <f t="shared" si="4"/>
        <v>2</v>
      </c>
      <c r="J278" s="46" t="s">
        <v>64</v>
      </c>
      <c r="K278" s="40"/>
      <c r="L278" s="40"/>
      <c r="M278" s="41"/>
    </row>
    <row r="279">
      <c r="A279" s="28" t="s">
        <v>297</v>
      </c>
      <c r="B279" s="46" t="s">
        <v>55</v>
      </c>
      <c r="C279" s="81" t="s">
        <v>337</v>
      </c>
      <c r="D279" s="31">
        <f t="shared" si="5"/>
        <v>7</v>
      </c>
      <c r="E279" s="32">
        <f t="shared" si="6"/>
        <v>17</v>
      </c>
      <c r="F279" s="33">
        <f t="shared" si="7"/>
        <v>32</v>
      </c>
      <c r="G279" s="34">
        <v>2.0</v>
      </c>
      <c r="H279" s="42">
        <v>2025.0</v>
      </c>
      <c r="I279" s="35">
        <f t="shared" si="4"/>
        <v>2</v>
      </c>
      <c r="J279" s="46" t="s">
        <v>64</v>
      </c>
      <c r="K279" s="40"/>
      <c r="L279" s="40"/>
      <c r="M279" s="41"/>
    </row>
    <row r="280">
      <c r="A280" s="28" t="s">
        <v>297</v>
      </c>
      <c r="B280" s="46" t="s">
        <v>60</v>
      </c>
      <c r="C280" s="81" t="s">
        <v>338</v>
      </c>
      <c r="D280" s="31">
        <f t="shared" si="5"/>
        <v>7</v>
      </c>
      <c r="E280" s="32">
        <f t="shared" si="6"/>
        <v>17</v>
      </c>
      <c r="F280" s="33">
        <f t="shared" si="7"/>
        <v>32</v>
      </c>
      <c r="G280" s="47">
        <v>2.0</v>
      </c>
      <c r="H280" s="42">
        <v>2025.0</v>
      </c>
      <c r="I280" s="35">
        <f t="shared" si="4"/>
        <v>2</v>
      </c>
      <c r="J280" s="39" t="s">
        <v>64</v>
      </c>
      <c r="K280" s="40"/>
      <c r="L280" s="40"/>
      <c r="M280" s="41"/>
    </row>
    <row r="281">
      <c r="A281" s="28" t="s">
        <v>297</v>
      </c>
      <c r="B281" s="46" t="s">
        <v>46</v>
      </c>
      <c r="C281" s="81" t="s">
        <v>339</v>
      </c>
      <c r="D281" s="31">
        <f t="shared" si="5"/>
        <v>7</v>
      </c>
      <c r="E281" s="32">
        <f t="shared" si="6"/>
        <v>17</v>
      </c>
      <c r="F281" s="33">
        <f t="shared" si="7"/>
        <v>32</v>
      </c>
      <c r="G281" s="47">
        <v>2.0</v>
      </c>
      <c r="H281" s="42">
        <v>2025.0</v>
      </c>
      <c r="I281" s="35">
        <f t="shared" si="4"/>
        <v>2</v>
      </c>
      <c r="J281" s="39" t="s">
        <v>64</v>
      </c>
      <c r="K281" s="40"/>
      <c r="L281" s="40"/>
      <c r="M281" s="41"/>
    </row>
    <row r="282">
      <c r="A282" s="42" t="s">
        <v>297</v>
      </c>
      <c r="B282" s="74" t="s">
        <v>51</v>
      </c>
      <c r="C282" s="81" t="s">
        <v>340</v>
      </c>
      <c r="D282" s="31">
        <f t="shared" si="5"/>
        <v>7</v>
      </c>
      <c r="E282" s="32">
        <f t="shared" si="6"/>
        <v>17</v>
      </c>
      <c r="F282" s="33">
        <f t="shared" si="7"/>
        <v>32</v>
      </c>
      <c r="G282" s="43">
        <v>2.0</v>
      </c>
      <c r="H282" s="42">
        <v>2025.0</v>
      </c>
      <c r="I282" s="35">
        <f t="shared" si="4"/>
        <v>2</v>
      </c>
      <c r="J282" s="39" t="s">
        <v>64</v>
      </c>
      <c r="K282" s="48"/>
      <c r="L282" s="48"/>
      <c r="M282" s="49"/>
    </row>
    <row r="283">
      <c r="A283" s="55" t="s">
        <v>341</v>
      </c>
      <c r="B283" s="56" t="s">
        <v>57</v>
      </c>
      <c r="C283" s="30" t="s">
        <v>72</v>
      </c>
      <c r="D283" s="31">
        <f t="shared" si="5"/>
        <v>2</v>
      </c>
      <c r="E283" s="32">
        <f t="shared" si="6"/>
        <v>7</v>
      </c>
      <c r="F283" s="33">
        <f t="shared" si="7"/>
        <v>17</v>
      </c>
      <c r="G283" s="57">
        <v>2.0</v>
      </c>
      <c r="H283" s="46">
        <v>2026.0</v>
      </c>
      <c r="I283" s="35">
        <f t="shared" si="4"/>
        <v>1</v>
      </c>
      <c r="J283" s="46" t="s">
        <v>57</v>
      </c>
      <c r="K283" s="40">
        <v>1.0</v>
      </c>
      <c r="L283" s="40">
        <v>2026.0</v>
      </c>
      <c r="M283" s="41"/>
    </row>
    <row r="284">
      <c r="A284" s="55" t="s">
        <v>341</v>
      </c>
      <c r="B284" s="56" t="s">
        <v>57</v>
      </c>
      <c r="C284" s="30" t="s">
        <v>74</v>
      </c>
      <c r="D284" s="31">
        <f t="shared" si="5"/>
        <v>1</v>
      </c>
      <c r="E284" s="32">
        <f t="shared" si="6"/>
        <v>6</v>
      </c>
      <c r="F284" s="33">
        <f t="shared" si="7"/>
        <v>16</v>
      </c>
      <c r="G284" s="57">
        <v>1.0</v>
      </c>
      <c r="H284" s="46">
        <v>2026.0</v>
      </c>
      <c r="I284" s="35">
        <f t="shared" si="4"/>
        <v>1</v>
      </c>
      <c r="J284" s="46" t="s">
        <v>57</v>
      </c>
      <c r="K284" s="40">
        <v>2.0</v>
      </c>
      <c r="L284" s="40">
        <v>2026.0</v>
      </c>
      <c r="M284" s="41"/>
    </row>
    <row r="285">
      <c r="A285" s="42" t="s">
        <v>341</v>
      </c>
      <c r="B285" s="66" t="s">
        <v>55</v>
      </c>
      <c r="C285" s="59" t="s">
        <v>342</v>
      </c>
      <c r="D285" s="31">
        <f t="shared" si="5"/>
        <v>63</v>
      </c>
      <c r="E285" s="32">
        <f t="shared" si="6"/>
        <v>78</v>
      </c>
      <c r="F285" s="33">
        <f t="shared" si="7"/>
        <v>98</v>
      </c>
      <c r="G285" s="43">
        <v>48.0</v>
      </c>
      <c r="H285" s="35">
        <v>2024.0</v>
      </c>
      <c r="I285" s="35">
        <f t="shared" si="4"/>
        <v>3</v>
      </c>
      <c r="J285" s="45" t="s">
        <v>48</v>
      </c>
      <c r="K285" s="40"/>
      <c r="L285" s="40"/>
      <c r="M285" s="41"/>
    </row>
    <row r="286">
      <c r="A286" s="29" t="s">
        <v>341</v>
      </c>
      <c r="B286" s="29" t="s">
        <v>46</v>
      </c>
      <c r="C286" s="59" t="s">
        <v>343</v>
      </c>
      <c r="D286" s="31">
        <f t="shared" si="5"/>
        <v>35</v>
      </c>
      <c r="E286" s="32">
        <f t="shared" si="6"/>
        <v>55</v>
      </c>
      <c r="F286" s="33">
        <f t="shared" si="7"/>
        <v>80</v>
      </c>
      <c r="G286" s="60">
        <v>5.0</v>
      </c>
      <c r="H286" s="29">
        <v>2023.0</v>
      </c>
      <c r="I286" s="35">
        <f t="shared" si="4"/>
        <v>4</v>
      </c>
      <c r="J286" s="36" t="s">
        <v>48</v>
      </c>
      <c r="K286" s="40">
        <v>2.0</v>
      </c>
      <c r="L286" s="40">
        <v>2026.0</v>
      </c>
      <c r="M286" s="41"/>
    </row>
    <row r="287">
      <c r="A287" s="29" t="s">
        <v>341</v>
      </c>
      <c r="B287" s="29" t="s">
        <v>46</v>
      </c>
      <c r="C287" s="59" t="s">
        <v>344</v>
      </c>
      <c r="D287" s="31">
        <f t="shared" si="5"/>
        <v>32</v>
      </c>
      <c r="E287" s="32">
        <f t="shared" si="6"/>
        <v>52</v>
      </c>
      <c r="F287" s="33">
        <f t="shared" si="7"/>
        <v>77</v>
      </c>
      <c r="G287" s="60">
        <v>2.0</v>
      </c>
      <c r="H287" s="29">
        <v>2023.0</v>
      </c>
      <c r="I287" s="35">
        <f t="shared" si="4"/>
        <v>4</v>
      </c>
      <c r="J287" s="45" t="s">
        <v>48</v>
      </c>
      <c r="K287" s="40">
        <v>2.0</v>
      </c>
      <c r="L287" s="40">
        <v>2026.0</v>
      </c>
      <c r="M287" s="41"/>
    </row>
    <row r="288">
      <c r="A288" s="73" t="s">
        <v>341</v>
      </c>
      <c r="B288" s="29" t="s">
        <v>51</v>
      </c>
      <c r="C288" s="59" t="s">
        <v>345</v>
      </c>
      <c r="D288" s="31">
        <f t="shared" si="5"/>
        <v>31</v>
      </c>
      <c r="E288" s="32">
        <f t="shared" si="6"/>
        <v>51</v>
      </c>
      <c r="F288" s="33">
        <f t="shared" si="7"/>
        <v>76</v>
      </c>
      <c r="G288" s="60">
        <v>1.0</v>
      </c>
      <c r="H288" s="29">
        <v>2023.0</v>
      </c>
      <c r="I288" s="35">
        <f t="shared" si="4"/>
        <v>4</v>
      </c>
      <c r="J288" s="36" t="s">
        <v>48</v>
      </c>
      <c r="K288" s="40">
        <v>2.0</v>
      </c>
      <c r="L288" s="40">
        <v>2026.0</v>
      </c>
      <c r="M288" s="41"/>
    </row>
    <row r="289">
      <c r="A289" s="28" t="s">
        <v>341</v>
      </c>
      <c r="B289" s="29" t="s">
        <v>51</v>
      </c>
      <c r="C289" s="59" t="s">
        <v>346</v>
      </c>
      <c r="D289" s="31">
        <f t="shared" si="5"/>
        <v>65</v>
      </c>
      <c r="E289" s="32">
        <f t="shared" si="6"/>
        <v>75</v>
      </c>
      <c r="F289" s="33">
        <f t="shared" si="7"/>
        <v>90</v>
      </c>
      <c r="G289" s="34">
        <v>60.0</v>
      </c>
      <c r="H289" s="28">
        <v>2025.0</v>
      </c>
      <c r="I289" s="35">
        <f t="shared" si="4"/>
        <v>2</v>
      </c>
      <c r="J289" s="36" t="s">
        <v>48</v>
      </c>
      <c r="K289" s="48"/>
      <c r="L289" s="48"/>
      <c r="M289" s="49"/>
    </row>
    <row r="290">
      <c r="A290" s="28" t="s">
        <v>341</v>
      </c>
      <c r="B290" s="29" t="s">
        <v>55</v>
      </c>
      <c r="C290" s="59" t="s">
        <v>347</v>
      </c>
      <c r="D290" s="31">
        <f t="shared" si="5"/>
        <v>59</v>
      </c>
      <c r="E290" s="32">
        <f t="shared" si="6"/>
        <v>69</v>
      </c>
      <c r="F290" s="33">
        <f t="shared" si="7"/>
        <v>84</v>
      </c>
      <c r="G290" s="34">
        <v>54.0</v>
      </c>
      <c r="H290" s="28">
        <v>2025.0</v>
      </c>
      <c r="I290" s="35">
        <f t="shared" si="4"/>
        <v>2</v>
      </c>
      <c r="J290" s="36" t="s">
        <v>48</v>
      </c>
      <c r="K290" s="40"/>
      <c r="L290" s="40"/>
      <c r="M290" s="41"/>
    </row>
    <row r="291">
      <c r="A291" s="28" t="s">
        <v>341</v>
      </c>
      <c r="B291" s="29" t="s">
        <v>55</v>
      </c>
      <c r="C291" s="59" t="s">
        <v>348</v>
      </c>
      <c r="D291" s="31">
        <f t="shared" si="5"/>
        <v>38</v>
      </c>
      <c r="E291" s="32">
        <f t="shared" si="6"/>
        <v>48</v>
      </c>
      <c r="F291" s="33">
        <f t="shared" si="7"/>
        <v>63</v>
      </c>
      <c r="G291" s="34">
        <v>33.0</v>
      </c>
      <c r="H291" s="28">
        <v>2025.0</v>
      </c>
      <c r="I291" s="35">
        <f t="shared" si="4"/>
        <v>2</v>
      </c>
      <c r="J291" s="36" t="s">
        <v>48</v>
      </c>
      <c r="K291" s="40"/>
      <c r="L291" s="40"/>
      <c r="M291" s="41"/>
    </row>
    <row r="292">
      <c r="A292" s="28" t="s">
        <v>341</v>
      </c>
      <c r="B292" s="29" t="s">
        <v>51</v>
      </c>
      <c r="C292" s="59" t="s">
        <v>349</v>
      </c>
      <c r="D292" s="31">
        <f t="shared" si="5"/>
        <v>16</v>
      </c>
      <c r="E292" s="32">
        <f t="shared" si="6"/>
        <v>26</v>
      </c>
      <c r="F292" s="33">
        <f t="shared" si="7"/>
        <v>41</v>
      </c>
      <c r="G292" s="34">
        <v>11.0</v>
      </c>
      <c r="H292" s="28">
        <v>2025.0</v>
      </c>
      <c r="I292" s="35">
        <f t="shared" si="4"/>
        <v>2</v>
      </c>
      <c r="J292" s="36" t="s">
        <v>48</v>
      </c>
      <c r="K292" s="40"/>
      <c r="L292" s="40"/>
      <c r="M292" s="41"/>
    </row>
    <row r="293">
      <c r="A293" s="28" t="s">
        <v>341</v>
      </c>
      <c r="B293" s="28" t="s">
        <v>51</v>
      </c>
      <c r="C293" s="59" t="s">
        <v>350</v>
      </c>
      <c r="D293" s="31">
        <f t="shared" si="5"/>
        <v>15</v>
      </c>
      <c r="E293" s="32">
        <f t="shared" si="6"/>
        <v>25</v>
      </c>
      <c r="F293" s="33">
        <f t="shared" si="7"/>
        <v>40</v>
      </c>
      <c r="G293" s="34">
        <v>10.0</v>
      </c>
      <c r="H293" s="28">
        <v>2025.0</v>
      </c>
      <c r="I293" s="35">
        <f t="shared" si="4"/>
        <v>2</v>
      </c>
      <c r="J293" s="36" t="s">
        <v>48</v>
      </c>
      <c r="K293" s="48"/>
      <c r="L293" s="48"/>
      <c r="M293" s="49"/>
    </row>
    <row r="294">
      <c r="A294" s="28" t="s">
        <v>341</v>
      </c>
      <c r="B294" s="42" t="s">
        <v>46</v>
      </c>
      <c r="C294" s="59" t="s">
        <v>351</v>
      </c>
      <c r="D294" s="31">
        <f t="shared" si="5"/>
        <v>10</v>
      </c>
      <c r="E294" s="32">
        <f t="shared" si="6"/>
        <v>20</v>
      </c>
      <c r="F294" s="33">
        <f t="shared" si="7"/>
        <v>35</v>
      </c>
      <c r="G294" s="43">
        <v>5.0</v>
      </c>
      <c r="H294" s="28">
        <v>2025.0</v>
      </c>
      <c r="I294" s="35">
        <f t="shared" si="4"/>
        <v>2</v>
      </c>
      <c r="J294" s="36" t="s">
        <v>48</v>
      </c>
      <c r="K294" s="40"/>
      <c r="L294" s="40"/>
      <c r="M294" s="41"/>
    </row>
    <row r="295">
      <c r="A295" s="42" t="s">
        <v>341</v>
      </c>
      <c r="B295" s="29" t="s">
        <v>55</v>
      </c>
      <c r="C295" s="59" t="s">
        <v>352</v>
      </c>
      <c r="D295" s="31">
        <f t="shared" si="5"/>
        <v>8</v>
      </c>
      <c r="E295" s="32">
        <f t="shared" si="6"/>
        <v>18</v>
      </c>
      <c r="F295" s="33">
        <f t="shared" si="7"/>
        <v>33</v>
      </c>
      <c r="G295" s="34">
        <v>3.0</v>
      </c>
      <c r="H295" s="42">
        <v>2025.0</v>
      </c>
      <c r="I295" s="35">
        <f t="shared" si="4"/>
        <v>2</v>
      </c>
      <c r="J295" s="46" t="s">
        <v>48</v>
      </c>
      <c r="K295" s="40"/>
      <c r="L295" s="40"/>
      <c r="M295" s="41"/>
    </row>
    <row r="296">
      <c r="A296" s="29" t="s">
        <v>341</v>
      </c>
      <c r="B296" s="46" t="s">
        <v>60</v>
      </c>
      <c r="C296" s="59" t="s">
        <v>353</v>
      </c>
      <c r="D296" s="31">
        <f t="shared" si="5"/>
        <v>6</v>
      </c>
      <c r="E296" s="32">
        <f t="shared" si="6"/>
        <v>16</v>
      </c>
      <c r="F296" s="33">
        <f t="shared" si="7"/>
        <v>31</v>
      </c>
      <c r="G296" s="47">
        <v>1.0</v>
      </c>
      <c r="H296" s="42">
        <v>2025.0</v>
      </c>
      <c r="I296" s="35">
        <f t="shared" si="4"/>
        <v>2</v>
      </c>
      <c r="J296" s="46" t="s">
        <v>57</v>
      </c>
      <c r="K296" s="40">
        <v>2.0</v>
      </c>
      <c r="L296" s="40">
        <v>2025.0</v>
      </c>
      <c r="M296" s="41"/>
    </row>
    <row r="297">
      <c r="A297" s="28" t="s">
        <v>341</v>
      </c>
      <c r="B297" s="29" t="s">
        <v>51</v>
      </c>
      <c r="C297" s="59" t="s">
        <v>354</v>
      </c>
      <c r="D297" s="31">
        <f t="shared" si="5"/>
        <v>6</v>
      </c>
      <c r="E297" s="32">
        <f t="shared" si="6"/>
        <v>16</v>
      </c>
      <c r="F297" s="33">
        <f t="shared" si="7"/>
        <v>31</v>
      </c>
      <c r="G297" s="34">
        <v>1.0</v>
      </c>
      <c r="H297" s="28">
        <v>2025.0</v>
      </c>
      <c r="I297" s="35">
        <f t="shared" si="4"/>
        <v>2</v>
      </c>
      <c r="J297" s="36" t="s">
        <v>48</v>
      </c>
      <c r="K297" s="40"/>
      <c r="L297" s="40"/>
      <c r="M297" s="41"/>
    </row>
    <row r="298">
      <c r="A298" s="28" t="s">
        <v>341</v>
      </c>
      <c r="B298" s="29" t="s">
        <v>60</v>
      </c>
      <c r="C298" s="59" t="s">
        <v>355</v>
      </c>
      <c r="D298" s="31">
        <f t="shared" si="5"/>
        <v>7</v>
      </c>
      <c r="E298" s="32">
        <f t="shared" si="6"/>
        <v>17</v>
      </c>
      <c r="F298" s="33">
        <f t="shared" si="7"/>
        <v>32</v>
      </c>
      <c r="G298" s="34">
        <v>2.0</v>
      </c>
      <c r="H298" s="28">
        <v>2025.0</v>
      </c>
      <c r="I298" s="35">
        <f t="shared" si="4"/>
        <v>2</v>
      </c>
      <c r="J298" s="36" t="s">
        <v>48</v>
      </c>
      <c r="K298" s="40"/>
      <c r="L298" s="40"/>
      <c r="M298" s="41"/>
    </row>
    <row r="299">
      <c r="A299" s="42" t="s">
        <v>341</v>
      </c>
      <c r="B299" s="35" t="s">
        <v>46</v>
      </c>
      <c r="C299" s="59" t="s">
        <v>356</v>
      </c>
      <c r="D299" s="31">
        <f t="shared" si="5"/>
        <v>7</v>
      </c>
      <c r="E299" s="32">
        <f t="shared" si="6"/>
        <v>17</v>
      </c>
      <c r="F299" s="33">
        <f t="shared" si="7"/>
        <v>32</v>
      </c>
      <c r="G299" s="43">
        <v>2.0</v>
      </c>
      <c r="H299" s="42">
        <v>2025.0</v>
      </c>
      <c r="I299" s="35">
        <f t="shared" si="4"/>
        <v>2</v>
      </c>
      <c r="J299" s="51" t="s">
        <v>64</v>
      </c>
      <c r="K299" s="40"/>
      <c r="L299" s="40"/>
      <c r="M299" s="41"/>
    </row>
    <row r="300">
      <c r="A300" s="76" t="s">
        <v>341</v>
      </c>
      <c r="B300" s="42" t="s">
        <v>60</v>
      </c>
      <c r="C300" s="59" t="s">
        <v>357</v>
      </c>
      <c r="D300" s="31">
        <f t="shared" si="5"/>
        <v>7</v>
      </c>
      <c r="E300" s="32">
        <f t="shared" si="6"/>
        <v>17</v>
      </c>
      <c r="F300" s="33">
        <f t="shared" si="7"/>
        <v>32</v>
      </c>
      <c r="G300" s="43">
        <v>2.0</v>
      </c>
      <c r="H300" s="42">
        <v>2025.0</v>
      </c>
      <c r="I300" s="35">
        <f t="shared" si="4"/>
        <v>2</v>
      </c>
      <c r="J300" s="51" t="s">
        <v>64</v>
      </c>
      <c r="K300" s="48"/>
      <c r="L300" s="48"/>
      <c r="M300" s="49"/>
    </row>
    <row r="301">
      <c r="A301" s="28" t="s">
        <v>341</v>
      </c>
      <c r="B301" s="28" t="s">
        <v>46</v>
      </c>
      <c r="C301" s="59" t="s">
        <v>358</v>
      </c>
      <c r="D301" s="31">
        <f t="shared" si="5"/>
        <v>7</v>
      </c>
      <c r="E301" s="32">
        <f t="shared" si="6"/>
        <v>17</v>
      </c>
      <c r="F301" s="33">
        <f t="shared" si="7"/>
        <v>32</v>
      </c>
      <c r="G301" s="34">
        <v>2.0</v>
      </c>
      <c r="H301" s="28">
        <v>2025.0</v>
      </c>
      <c r="I301" s="35">
        <f t="shared" si="4"/>
        <v>2</v>
      </c>
      <c r="J301" s="39" t="s">
        <v>64</v>
      </c>
      <c r="K301" s="40"/>
      <c r="L301" s="40"/>
      <c r="M301" s="41"/>
    </row>
    <row r="302">
      <c r="A302" s="28" t="s">
        <v>341</v>
      </c>
      <c r="B302" s="29" t="s">
        <v>60</v>
      </c>
      <c r="C302" s="59" t="s">
        <v>359</v>
      </c>
      <c r="D302" s="31">
        <f t="shared" si="5"/>
        <v>7</v>
      </c>
      <c r="E302" s="32">
        <f t="shared" si="6"/>
        <v>17</v>
      </c>
      <c r="F302" s="33">
        <f t="shared" si="7"/>
        <v>32</v>
      </c>
      <c r="G302" s="34">
        <v>2.0</v>
      </c>
      <c r="H302" s="28">
        <v>2025.0</v>
      </c>
      <c r="I302" s="35">
        <f t="shared" si="4"/>
        <v>2</v>
      </c>
      <c r="J302" s="39" t="s">
        <v>64</v>
      </c>
      <c r="K302" s="40"/>
      <c r="L302" s="40"/>
      <c r="M302" s="41"/>
    </row>
    <row r="303">
      <c r="A303" s="28" t="s">
        <v>341</v>
      </c>
      <c r="B303" s="29" t="s">
        <v>60</v>
      </c>
      <c r="C303" s="59" t="s">
        <v>360</v>
      </c>
      <c r="D303" s="31">
        <f t="shared" si="5"/>
        <v>7</v>
      </c>
      <c r="E303" s="32">
        <f t="shared" si="6"/>
        <v>17</v>
      </c>
      <c r="F303" s="33">
        <f t="shared" si="7"/>
        <v>32</v>
      </c>
      <c r="G303" s="34">
        <v>2.0</v>
      </c>
      <c r="H303" s="28">
        <v>2025.0</v>
      </c>
      <c r="I303" s="35">
        <f t="shared" si="4"/>
        <v>2</v>
      </c>
      <c r="J303" s="39" t="s">
        <v>64</v>
      </c>
      <c r="K303" s="40"/>
      <c r="L303" s="40"/>
      <c r="M303" s="41"/>
    </row>
    <row r="304">
      <c r="A304" s="42" t="s">
        <v>341</v>
      </c>
      <c r="B304" s="74" t="s">
        <v>46</v>
      </c>
      <c r="C304" s="59" t="s">
        <v>361</v>
      </c>
      <c r="D304" s="31">
        <f t="shared" si="5"/>
        <v>7</v>
      </c>
      <c r="E304" s="32">
        <f t="shared" si="6"/>
        <v>17</v>
      </c>
      <c r="F304" s="33">
        <f t="shared" si="7"/>
        <v>32</v>
      </c>
      <c r="G304" s="34">
        <v>2.0</v>
      </c>
      <c r="H304" s="28">
        <v>2025.0</v>
      </c>
      <c r="I304" s="35">
        <f t="shared" si="4"/>
        <v>2</v>
      </c>
      <c r="J304" s="39" t="s">
        <v>64</v>
      </c>
      <c r="K304" s="40"/>
      <c r="L304" s="40"/>
      <c r="M304" s="41"/>
    </row>
    <row r="305" hidden="1">
      <c r="A305" s="42"/>
      <c r="B305" s="35" t="s">
        <v>51</v>
      </c>
      <c r="C305" s="72" t="s">
        <v>362</v>
      </c>
      <c r="D305" s="31">
        <f t="shared" si="5"/>
        <v>5</v>
      </c>
      <c r="E305" s="32">
        <f t="shared" si="6"/>
        <v>15</v>
      </c>
      <c r="F305" s="33">
        <f t="shared" si="7"/>
        <v>30</v>
      </c>
      <c r="G305" s="43">
        <v>0.0</v>
      </c>
      <c r="H305" s="42">
        <v>2025.0</v>
      </c>
      <c r="I305" s="35">
        <f t="shared" si="4"/>
        <v>2</v>
      </c>
      <c r="J305" s="51" t="s">
        <v>64</v>
      </c>
      <c r="K305" s="40"/>
      <c r="L305" s="40"/>
      <c r="M305" s="41"/>
    </row>
    <row r="306" hidden="1">
      <c r="A306" s="28"/>
      <c r="B306" s="46" t="s">
        <v>46</v>
      </c>
      <c r="C306" s="30" t="s">
        <v>308</v>
      </c>
      <c r="D306" s="31">
        <f t="shared" si="5"/>
        <v>7</v>
      </c>
      <c r="E306" s="32">
        <f t="shared" si="6"/>
        <v>17</v>
      </c>
      <c r="F306" s="33">
        <f t="shared" si="7"/>
        <v>32</v>
      </c>
      <c r="G306" s="43">
        <v>2.0</v>
      </c>
      <c r="H306" s="42">
        <v>2025.0</v>
      </c>
      <c r="I306" s="35">
        <f t="shared" si="4"/>
        <v>2</v>
      </c>
      <c r="J306" s="46"/>
      <c r="K306" s="40"/>
      <c r="L306" s="40"/>
      <c r="M306" s="41"/>
    </row>
    <row r="307" hidden="1">
      <c r="A307" s="35"/>
      <c r="B307" s="79" t="s">
        <v>55</v>
      </c>
      <c r="C307" s="58" t="s">
        <v>363</v>
      </c>
      <c r="D307" s="31">
        <f t="shared" si="5"/>
        <v>0</v>
      </c>
      <c r="E307" s="32">
        <f t="shared" si="6"/>
        <v>0</v>
      </c>
      <c r="F307" s="33">
        <f t="shared" si="7"/>
        <v>5</v>
      </c>
      <c r="G307" s="34"/>
      <c r="H307" s="44"/>
      <c r="I307" s="35"/>
      <c r="J307" s="46"/>
      <c r="K307" s="40"/>
      <c r="L307" s="40"/>
      <c r="M307" s="41"/>
    </row>
    <row r="308" hidden="1">
      <c r="A308" s="28"/>
      <c r="B308" s="74" t="s">
        <v>51</v>
      </c>
      <c r="C308" s="71" t="s">
        <v>364</v>
      </c>
      <c r="D308" s="31">
        <f t="shared" si="5"/>
        <v>0</v>
      </c>
      <c r="E308" s="32">
        <f t="shared" si="6"/>
        <v>0</v>
      </c>
      <c r="F308" s="33">
        <f t="shared" si="7"/>
        <v>5</v>
      </c>
      <c r="G308" s="65"/>
      <c r="H308" s="44"/>
      <c r="I308" s="35"/>
      <c r="J308" s="45"/>
      <c r="K308" s="53"/>
      <c r="L308" s="53"/>
      <c r="M308" s="45"/>
    </row>
    <row r="309" hidden="1">
      <c r="A309" s="35"/>
      <c r="B309" s="42" t="s">
        <v>46</v>
      </c>
      <c r="C309" s="72" t="s">
        <v>365</v>
      </c>
      <c r="D309" s="31">
        <f t="shared" si="5"/>
        <v>0</v>
      </c>
      <c r="E309" s="32">
        <f t="shared" si="6"/>
        <v>0</v>
      </c>
      <c r="F309" s="33">
        <f t="shared" si="7"/>
        <v>5</v>
      </c>
      <c r="G309" s="43"/>
      <c r="H309" s="44"/>
      <c r="I309" s="35"/>
      <c r="J309" s="45"/>
      <c r="K309" s="48"/>
      <c r="L309" s="48"/>
      <c r="M309" s="49"/>
    </row>
    <row r="310" hidden="1">
      <c r="A310" s="35"/>
      <c r="B310" s="66" t="s">
        <v>51</v>
      </c>
      <c r="C310" s="72" t="s">
        <v>366</v>
      </c>
      <c r="D310" s="31">
        <f t="shared" si="5"/>
        <v>0</v>
      </c>
      <c r="E310" s="32">
        <f t="shared" si="6"/>
        <v>0</v>
      </c>
      <c r="F310" s="33">
        <f t="shared" si="7"/>
        <v>5</v>
      </c>
      <c r="G310" s="43"/>
      <c r="H310" s="44"/>
      <c r="I310" s="42"/>
      <c r="J310" s="51"/>
      <c r="K310" s="48"/>
      <c r="L310" s="48"/>
      <c r="M310" s="49"/>
    </row>
    <row r="311" hidden="1">
      <c r="A311" s="29"/>
      <c r="B311" s="28" t="s">
        <v>51</v>
      </c>
      <c r="C311" s="58" t="s">
        <v>367</v>
      </c>
      <c r="D311" s="31">
        <f t="shared" si="5"/>
        <v>0</v>
      </c>
      <c r="E311" s="32">
        <f t="shared" si="6"/>
        <v>0</v>
      </c>
      <c r="F311" s="33">
        <f t="shared" si="7"/>
        <v>5</v>
      </c>
      <c r="G311" s="34"/>
      <c r="H311" s="35"/>
      <c r="I311" s="42"/>
      <c r="J311" s="46"/>
      <c r="K311" s="40"/>
      <c r="L311" s="40"/>
      <c r="M311" s="41"/>
    </row>
    <row r="312" hidden="1">
      <c r="A312" s="28"/>
      <c r="B312" s="42" t="s">
        <v>60</v>
      </c>
      <c r="C312" s="72" t="s">
        <v>368</v>
      </c>
      <c r="D312" s="31">
        <f t="shared" si="5"/>
        <v>0</v>
      </c>
      <c r="E312" s="32">
        <f t="shared" si="6"/>
        <v>0</v>
      </c>
      <c r="F312" s="33">
        <f t="shared" si="7"/>
        <v>5</v>
      </c>
      <c r="G312" s="43"/>
      <c r="H312" s="35"/>
      <c r="I312" s="42"/>
      <c r="J312" s="39"/>
      <c r="K312" s="40"/>
      <c r="L312" s="40"/>
      <c r="M312" s="41"/>
    </row>
    <row r="313" hidden="1">
      <c r="A313" s="73"/>
      <c r="B313" s="28" t="s">
        <v>46</v>
      </c>
      <c r="C313" s="58" t="s">
        <v>369</v>
      </c>
      <c r="D313" s="31">
        <f t="shared" si="5"/>
        <v>0</v>
      </c>
      <c r="E313" s="32">
        <f t="shared" si="6"/>
        <v>0</v>
      </c>
      <c r="F313" s="33">
        <f t="shared" si="7"/>
        <v>5</v>
      </c>
      <c r="G313" s="34"/>
      <c r="H313" s="28"/>
      <c r="I313" s="42"/>
      <c r="J313" s="51"/>
      <c r="K313" s="40"/>
      <c r="L313" s="40"/>
      <c r="M313" s="41"/>
    </row>
    <row r="314" hidden="1">
      <c r="A314" s="35"/>
      <c r="B314" s="66" t="s">
        <v>51</v>
      </c>
      <c r="C314" s="72" t="s">
        <v>370</v>
      </c>
      <c r="D314" s="31">
        <f t="shared" si="5"/>
        <v>0</v>
      </c>
      <c r="E314" s="32">
        <f t="shared" si="6"/>
        <v>0</v>
      </c>
      <c r="F314" s="33">
        <f t="shared" si="7"/>
        <v>5</v>
      </c>
      <c r="G314" s="43"/>
      <c r="H314" s="44"/>
      <c r="I314" s="42"/>
      <c r="J314" s="51"/>
      <c r="K314" s="48"/>
      <c r="L314" s="48"/>
      <c r="M314" s="49"/>
    </row>
    <row r="315" hidden="1">
      <c r="A315" s="28"/>
      <c r="B315" s="66" t="s">
        <v>55</v>
      </c>
      <c r="C315" s="72" t="s">
        <v>371</v>
      </c>
      <c r="D315" s="31">
        <f t="shared" si="5"/>
        <v>0</v>
      </c>
      <c r="E315" s="32">
        <f t="shared" si="6"/>
        <v>0</v>
      </c>
      <c r="F315" s="33">
        <f t="shared" si="7"/>
        <v>5</v>
      </c>
      <c r="G315" s="43"/>
      <c r="H315" s="35"/>
      <c r="I315" s="42"/>
      <c r="J315" s="51"/>
      <c r="K315" s="40"/>
      <c r="L315" s="40"/>
      <c r="M315" s="41"/>
    </row>
    <row r="316" hidden="1">
      <c r="A316" s="73"/>
      <c r="B316" s="28" t="s">
        <v>55</v>
      </c>
      <c r="C316" s="58" t="s">
        <v>372</v>
      </c>
      <c r="D316" s="31">
        <f t="shared" si="5"/>
        <v>0</v>
      </c>
      <c r="E316" s="32">
        <f t="shared" si="6"/>
        <v>0</v>
      </c>
      <c r="F316" s="33">
        <f t="shared" si="7"/>
        <v>5</v>
      </c>
      <c r="G316" s="34"/>
      <c r="H316" s="28"/>
      <c r="I316" s="42"/>
      <c r="J316" s="51"/>
      <c r="K316" s="40"/>
      <c r="L316" s="40"/>
      <c r="M316" s="41"/>
    </row>
    <row r="317" hidden="1">
      <c r="A317" s="28"/>
      <c r="B317" s="66" t="s">
        <v>51</v>
      </c>
      <c r="C317" s="72" t="s">
        <v>373</v>
      </c>
      <c r="D317" s="31">
        <f t="shared" si="5"/>
        <v>0</v>
      </c>
      <c r="E317" s="32">
        <f t="shared" si="6"/>
        <v>0</v>
      </c>
      <c r="F317" s="33">
        <f t="shared" si="7"/>
        <v>5</v>
      </c>
      <c r="G317" s="43"/>
      <c r="H317" s="35"/>
      <c r="I317" s="42"/>
      <c r="J317" s="51"/>
      <c r="K317" s="40"/>
      <c r="L317" s="40"/>
      <c r="M317" s="41"/>
    </row>
    <row r="318" hidden="1">
      <c r="A318" s="76"/>
      <c r="B318" s="29" t="s">
        <v>46</v>
      </c>
      <c r="C318" s="58" t="s">
        <v>374</v>
      </c>
      <c r="D318" s="31">
        <f t="shared" si="5"/>
        <v>0</v>
      </c>
      <c r="E318" s="32">
        <f t="shared" si="6"/>
        <v>0</v>
      </c>
      <c r="F318" s="33">
        <f t="shared" si="7"/>
        <v>5</v>
      </c>
      <c r="G318" s="34"/>
      <c r="H318" s="28"/>
      <c r="I318" s="35"/>
      <c r="J318" s="36"/>
      <c r="K318" s="40"/>
      <c r="L318" s="40"/>
      <c r="M318" s="41"/>
    </row>
    <row r="319" hidden="1">
      <c r="A319" s="35"/>
      <c r="B319" s="42" t="s">
        <v>55</v>
      </c>
      <c r="C319" s="72" t="s">
        <v>375</v>
      </c>
      <c r="D319" s="31">
        <f t="shared" si="5"/>
        <v>0</v>
      </c>
      <c r="E319" s="32">
        <f t="shared" si="6"/>
        <v>0</v>
      </c>
      <c r="F319" s="33">
        <f t="shared" si="7"/>
        <v>5</v>
      </c>
      <c r="G319" s="43"/>
      <c r="H319" s="42"/>
      <c r="I319" s="35"/>
      <c r="J319" s="45"/>
      <c r="K319" s="40"/>
      <c r="L319" s="40"/>
      <c r="M319" s="41"/>
    </row>
    <row r="320" hidden="1">
      <c r="A320" s="28"/>
      <c r="B320" s="28" t="s">
        <v>55</v>
      </c>
      <c r="C320" s="58" t="s">
        <v>376</v>
      </c>
      <c r="D320" s="31">
        <f t="shared" si="5"/>
        <v>0</v>
      </c>
      <c r="E320" s="32">
        <f t="shared" si="6"/>
        <v>0</v>
      </c>
      <c r="F320" s="33">
        <f t="shared" si="7"/>
        <v>5</v>
      </c>
      <c r="G320" s="34"/>
      <c r="H320" s="35"/>
      <c r="I320" s="42"/>
      <c r="J320" s="39"/>
      <c r="K320" s="40"/>
      <c r="L320" s="40"/>
      <c r="M320" s="41"/>
    </row>
    <row r="321" hidden="1">
      <c r="A321" s="35"/>
      <c r="B321" s="42" t="s">
        <v>46</v>
      </c>
      <c r="C321" s="72" t="s">
        <v>377</v>
      </c>
      <c r="D321" s="31">
        <f t="shared" si="5"/>
        <v>0</v>
      </c>
      <c r="E321" s="32">
        <f t="shared" si="6"/>
        <v>0</v>
      </c>
      <c r="F321" s="33">
        <f t="shared" si="7"/>
        <v>5</v>
      </c>
      <c r="G321" s="43"/>
      <c r="H321" s="44"/>
      <c r="I321" s="35"/>
      <c r="J321" s="45"/>
      <c r="K321" s="48"/>
      <c r="L321" s="48"/>
      <c r="M321" s="49"/>
    </row>
    <row r="322" hidden="1">
      <c r="A322" s="35"/>
      <c r="B322" s="42" t="s">
        <v>46</v>
      </c>
      <c r="C322" s="72" t="s">
        <v>378</v>
      </c>
      <c r="D322" s="31">
        <f t="shared" si="5"/>
        <v>0</v>
      </c>
      <c r="E322" s="32">
        <f t="shared" si="6"/>
        <v>0</v>
      </c>
      <c r="F322" s="33">
        <f t="shared" si="7"/>
        <v>5</v>
      </c>
      <c r="G322" s="43"/>
      <c r="H322" s="44"/>
      <c r="I322" s="35"/>
      <c r="J322" s="45"/>
      <c r="K322" s="40"/>
      <c r="L322" s="40"/>
      <c r="M322" s="41"/>
    </row>
    <row r="323" hidden="1">
      <c r="A323" s="35"/>
      <c r="B323" s="79" t="s">
        <v>55</v>
      </c>
      <c r="C323" s="58" t="s">
        <v>379</v>
      </c>
      <c r="D323" s="31">
        <f t="shared" si="5"/>
        <v>0</v>
      </c>
      <c r="E323" s="32">
        <f t="shared" si="6"/>
        <v>0</v>
      </c>
      <c r="F323" s="33">
        <f t="shared" si="7"/>
        <v>5</v>
      </c>
      <c r="G323" s="34"/>
      <c r="H323" s="44"/>
      <c r="I323" s="35"/>
      <c r="J323" s="46"/>
      <c r="K323" s="40"/>
      <c r="L323" s="40"/>
      <c r="M323" s="41"/>
    </row>
    <row r="324" hidden="1">
      <c r="A324" s="29"/>
      <c r="B324" s="28" t="s">
        <v>55</v>
      </c>
      <c r="C324" s="58" t="s">
        <v>380</v>
      </c>
      <c r="D324" s="31">
        <f t="shared" si="5"/>
        <v>0</v>
      </c>
      <c r="E324" s="32">
        <f t="shared" si="6"/>
        <v>0</v>
      </c>
      <c r="F324" s="33">
        <f t="shared" si="7"/>
        <v>5</v>
      </c>
      <c r="G324" s="34"/>
      <c r="H324" s="28"/>
      <c r="I324" s="35"/>
      <c r="J324" s="46"/>
      <c r="K324" s="40"/>
      <c r="L324" s="40"/>
      <c r="M324" s="41"/>
    </row>
    <row r="325" hidden="1">
      <c r="A325" s="76"/>
      <c r="B325" s="42" t="s">
        <v>46</v>
      </c>
      <c r="C325" s="72" t="s">
        <v>381</v>
      </c>
      <c r="D325" s="31">
        <f t="shared" si="5"/>
        <v>0</v>
      </c>
      <c r="E325" s="32">
        <f t="shared" si="6"/>
        <v>0</v>
      </c>
      <c r="F325" s="33">
        <f t="shared" si="7"/>
        <v>5</v>
      </c>
      <c r="G325" s="43"/>
      <c r="H325" s="28"/>
      <c r="I325" s="42"/>
      <c r="J325" s="51"/>
      <c r="K325" s="40"/>
      <c r="L325" s="40"/>
      <c r="M325" s="41"/>
    </row>
    <row r="326" hidden="1">
      <c r="A326" s="35"/>
      <c r="B326" s="66" t="s">
        <v>46</v>
      </c>
      <c r="C326" s="72" t="s">
        <v>382</v>
      </c>
      <c r="D326" s="31">
        <f t="shared" si="5"/>
        <v>0</v>
      </c>
      <c r="E326" s="32">
        <f t="shared" si="6"/>
        <v>0</v>
      </c>
      <c r="F326" s="33">
        <f t="shared" si="7"/>
        <v>5</v>
      </c>
      <c r="G326" s="43"/>
      <c r="H326" s="44"/>
      <c r="I326" s="42"/>
      <c r="J326" s="51"/>
      <c r="K326" s="48"/>
      <c r="L326" s="48"/>
      <c r="M326" s="49"/>
    </row>
    <row r="327" hidden="1">
      <c r="A327" s="35"/>
      <c r="B327" s="35" t="s">
        <v>51</v>
      </c>
      <c r="C327" s="71" t="s">
        <v>383</v>
      </c>
      <c r="D327" s="31">
        <f t="shared" si="5"/>
        <v>0</v>
      </c>
      <c r="E327" s="32">
        <f t="shared" si="6"/>
        <v>0</v>
      </c>
      <c r="F327" s="33">
        <f t="shared" si="7"/>
        <v>5</v>
      </c>
      <c r="G327" s="65"/>
      <c r="H327" s="35"/>
      <c r="I327" s="35"/>
      <c r="J327" s="45"/>
      <c r="K327" s="40"/>
      <c r="L327" s="40"/>
      <c r="M327" s="41"/>
    </row>
    <row r="328" hidden="1">
      <c r="A328" s="29"/>
      <c r="B328" s="46" t="s">
        <v>51</v>
      </c>
      <c r="C328" s="30" t="s">
        <v>384</v>
      </c>
      <c r="D328" s="31">
        <f t="shared" si="5"/>
        <v>0</v>
      </c>
      <c r="E328" s="32">
        <f t="shared" si="6"/>
        <v>0</v>
      </c>
      <c r="F328" s="33">
        <f t="shared" si="7"/>
        <v>5</v>
      </c>
      <c r="G328" s="47"/>
      <c r="H328" s="35"/>
      <c r="I328" s="46"/>
      <c r="J328" s="46"/>
      <c r="K328" s="40"/>
      <c r="L328" s="40"/>
      <c r="M328" s="41"/>
    </row>
    <row r="329" hidden="1">
      <c r="A329" s="44"/>
      <c r="B329" s="66" t="s">
        <v>55</v>
      </c>
      <c r="C329" s="72" t="s">
        <v>385</v>
      </c>
      <c r="D329" s="31">
        <f t="shared" si="5"/>
        <v>0</v>
      </c>
      <c r="E329" s="32">
        <f t="shared" si="6"/>
        <v>0</v>
      </c>
      <c r="F329" s="33">
        <f t="shared" si="7"/>
        <v>5</v>
      </c>
      <c r="G329" s="43"/>
      <c r="H329" s="44"/>
      <c r="I329" s="35"/>
      <c r="J329" s="46"/>
      <c r="K329" s="40"/>
      <c r="L329" s="40"/>
      <c r="M329" s="41"/>
    </row>
    <row r="330" hidden="1">
      <c r="A330" s="35"/>
      <c r="B330" s="42" t="s">
        <v>60</v>
      </c>
      <c r="C330" s="72" t="s">
        <v>386</v>
      </c>
      <c r="D330" s="31">
        <f t="shared" si="5"/>
        <v>0</v>
      </c>
      <c r="E330" s="32">
        <f t="shared" si="6"/>
        <v>0</v>
      </c>
      <c r="F330" s="33">
        <f t="shared" si="7"/>
        <v>5</v>
      </c>
      <c r="G330" s="43"/>
      <c r="H330" s="28"/>
      <c r="I330" s="42"/>
      <c r="J330" s="51"/>
      <c r="K330" s="48"/>
      <c r="L330" s="48"/>
      <c r="M330" s="49"/>
    </row>
    <row r="331" hidden="1">
      <c r="A331" s="44"/>
      <c r="B331" s="66"/>
      <c r="C331" s="72"/>
      <c r="D331" s="31">
        <f t="shared" si="5"/>
        <v>0</v>
      </c>
      <c r="E331" s="32">
        <f t="shared" si="6"/>
        <v>0</v>
      </c>
      <c r="F331" s="33">
        <f t="shared" si="7"/>
        <v>5</v>
      </c>
      <c r="G331" s="43"/>
      <c r="H331" s="44"/>
      <c r="I331" s="35"/>
      <c r="J331" s="46"/>
      <c r="K331" s="40"/>
      <c r="L331" s="40"/>
      <c r="M331" s="41"/>
    </row>
    <row r="332" hidden="1">
      <c r="A332" s="44"/>
      <c r="B332" s="66"/>
      <c r="C332" s="72"/>
      <c r="D332" s="31">
        <f t="shared" si="5"/>
        <v>0</v>
      </c>
      <c r="E332" s="32">
        <f t="shared" si="6"/>
        <v>0</v>
      </c>
      <c r="F332" s="33">
        <f t="shared" si="7"/>
        <v>5</v>
      </c>
      <c r="G332" s="43"/>
      <c r="H332" s="44"/>
      <c r="I332" s="35"/>
      <c r="J332" s="46"/>
      <c r="K332" s="40"/>
      <c r="L332" s="40"/>
      <c r="M332" s="41"/>
    </row>
    <row r="333" hidden="1">
      <c r="A333" s="44"/>
      <c r="B333" s="66"/>
      <c r="C333" s="72"/>
      <c r="D333" s="31">
        <f t="shared" si="5"/>
        <v>0</v>
      </c>
      <c r="E333" s="32">
        <f t="shared" si="6"/>
        <v>0</v>
      </c>
      <c r="F333" s="33">
        <f t="shared" si="7"/>
        <v>5</v>
      </c>
      <c r="G333" s="43"/>
      <c r="H333" s="44"/>
      <c r="I333" s="35"/>
      <c r="J333" s="46"/>
      <c r="K333" s="40"/>
      <c r="L333" s="40"/>
      <c r="M333" s="41"/>
    </row>
    <row r="334" hidden="1">
      <c r="A334" s="44"/>
      <c r="B334" s="66"/>
      <c r="C334" s="72"/>
      <c r="D334" s="31">
        <f t="shared" si="5"/>
        <v>0</v>
      </c>
      <c r="E334" s="32">
        <f t="shared" si="6"/>
        <v>0</v>
      </c>
      <c r="F334" s="33">
        <f t="shared" si="7"/>
        <v>5</v>
      </c>
      <c r="G334" s="43"/>
      <c r="H334" s="44"/>
      <c r="I334" s="35"/>
      <c r="J334" s="46"/>
      <c r="K334" s="40"/>
      <c r="L334" s="40"/>
      <c r="M334" s="41"/>
    </row>
    <row r="335" hidden="1">
      <c r="A335" s="44"/>
      <c r="B335" s="66"/>
      <c r="C335" s="72"/>
      <c r="D335" s="31">
        <f t="shared" si="5"/>
        <v>0</v>
      </c>
      <c r="E335" s="32">
        <f t="shared" si="6"/>
        <v>0</v>
      </c>
      <c r="F335" s="33">
        <f t="shared" si="7"/>
        <v>5</v>
      </c>
      <c r="G335" s="43"/>
      <c r="H335" s="44"/>
      <c r="I335" s="35"/>
      <c r="J335" s="46"/>
      <c r="K335" s="40"/>
      <c r="L335" s="40"/>
      <c r="M335" s="41"/>
    </row>
    <row r="336" hidden="1">
      <c r="A336" s="44"/>
      <c r="B336" s="66"/>
      <c r="C336" s="72"/>
      <c r="D336" s="31">
        <f t="shared" si="5"/>
        <v>0</v>
      </c>
      <c r="E336" s="32">
        <f t="shared" si="6"/>
        <v>0</v>
      </c>
      <c r="F336" s="33">
        <f t="shared" si="7"/>
        <v>5</v>
      </c>
      <c r="G336" s="43"/>
      <c r="H336" s="44"/>
      <c r="I336" s="35"/>
      <c r="J336" s="46"/>
      <c r="K336" s="40"/>
      <c r="L336" s="40"/>
      <c r="M336" s="41"/>
    </row>
    <row r="337" hidden="1">
      <c r="A337" s="44"/>
      <c r="B337" s="66"/>
      <c r="C337" s="72"/>
      <c r="D337" s="31">
        <f t="shared" si="5"/>
        <v>0</v>
      </c>
      <c r="E337" s="32">
        <f t="shared" si="6"/>
        <v>0</v>
      </c>
      <c r="F337" s="33">
        <f t="shared" si="7"/>
        <v>5</v>
      </c>
      <c r="G337" s="43"/>
      <c r="H337" s="44"/>
      <c r="I337" s="35"/>
      <c r="J337" s="46"/>
      <c r="K337" s="40"/>
      <c r="L337" s="40"/>
      <c r="M337" s="41"/>
    </row>
    <row r="338" hidden="1">
      <c r="A338" s="44"/>
      <c r="B338" s="66"/>
      <c r="C338" s="72"/>
      <c r="D338" s="31">
        <f t="shared" si="5"/>
        <v>0</v>
      </c>
      <c r="E338" s="32">
        <f t="shared" si="6"/>
        <v>0</v>
      </c>
      <c r="F338" s="33">
        <f t="shared" si="7"/>
        <v>5</v>
      </c>
      <c r="G338" s="43"/>
      <c r="H338" s="44"/>
      <c r="I338" s="35"/>
      <c r="J338" s="46"/>
      <c r="K338" s="40"/>
      <c r="L338" s="40"/>
      <c r="M338" s="41"/>
    </row>
    <row r="339" hidden="1">
      <c r="A339" s="44"/>
      <c r="B339" s="66"/>
      <c r="C339" s="72"/>
      <c r="D339" s="31">
        <f t="shared" si="5"/>
        <v>0</v>
      </c>
      <c r="E339" s="32">
        <f t="shared" si="6"/>
        <v>0</v>
      </c>
      <c r="F339" s="33">
        <f t="shared" si="7"/>
        <v>5</v>
      </c>
      <c r="G339" s="43"/>
      <c r="H339" s="44"/>
      <c r="I339" s="35"/>
      <c r="J339" s="46"/>
      <c r="K339" s="40"/>
      <c r="L339" s="40"/>
      <c r="M339" s="41"/>
    </row>
    <row r="340" hidden="1">
      <c r="A340" s="44"/>
      <c r="B340" s="66"/>
      <c r="C340" s="72"/>
      <c r="D340" s="31">
        <f t="shared" si="5"/>
        <v>0</v>
      </c>
      <c r="E340" s="32">
        <f t="shared" si="6"/>
        <v>0</v>
      </c>
      <c r="F340" s="33">
        <f t="shared" si="7"/>
        <v>5</v>
      </c>
      <c r="G340" s="43"/>
      <c r="H340" s="44"/>
      <c r="I340" s="35"/>
      <c r="J340" s="46"/>
      <c r="K340" s="40"/>
      <c r="L340" s="40"/>
      <c r="M340" s="41"/>
    </row>
    <row r="341" hidden="1">
      <c r="A341" s="44"/>
      <c r="B341" s="66" t="s">
        <v>55</v>
      </c>
      <c r="C341" s="72" t="s">
        <v>387</v>
      </c>
      <c r="D341" s="31">
        <f t="shared" si="5"/>
        <v>0</v>
      </c>
      <c r="E341" s="32">
        <f t="shared" si="6"/>
        <v>0</v>
      </c>
      <c r="F341" s="33">
        <f t="shared" si="7"/>
        <v>5</v>
      </c>
      <c r="G341" s="43"/>
      <c r="H341" s="44"/>
      <c r="I341" s="35"/>
      <c r="J341" s="46"/>
      <c r="K341" s="40"/>
      <c r="L341" s="40"/>
      <c r="M341" s="41"/>
    </row>
    <row r="342" hidden="1">
      <c r="A342" s="44"/>
      <c r="B342" s="66" t="s">
        <v>51</v>
      </c>
      <c r="C342" s="72" t="s">
        <v>388</v>
      </c>
      <c r="D342" s="31">
        <f t="shared" si="5"/>
        <v>0</v>
      </c>
      <c r="E342" s="32">
        <f t="shared" si="6"/>
        <v>0</v>
      </c>
      <c r="F342" s="33">
        <f t="shared" si="7"/>
        <v>5</v>
      </c>
      <c r="G342" s="43"/>
      <c r="H342" s="35"/>
      <c r="I342" s="35"/>
      <c r="J342" s="45"/>
      <c r="K342" s="40"/>
      <c r="L342" s="40"/>
      <c r="M342" s="41"/>
    </row>
    <row r="343" hidden="1">
      <c r="A343" s="28"/>
      <c r="B343" s="66" t="s">
        <v>46</v>
      </c>
      <c r="C343" s="72" t="s">
        <v>389</v>
      </c>
      <c r="D343" s="31">
        <f t="shared" si="5"/>
        <v>0</v>
      </c>
      <c r="E343" s="32">
        <f t="shared" si="6"/>
        <v>0</v>
      </c>
      <c r="F343" s="33">
        <f t="shared" si="7"/>
        <v>5</v>
      </c>
      <c r="G343" s="43"/>
      <c r="H343" s="35"/>
      <c r="I343" s="42"/>
      <c r="J343" s="39"/>
      <c r="K343" s="40"/>
      <c r="L343" s="40"/>
      <c r="M343" s="41"/>
    </row>
    <row r="344" hidden="1">
      <c r="A344" s="28"/>
      <c r="B344" s="42" t="s">
        <v>46</v>
      </c>
      <c r="C344" s="72" t="s">
        <v>390</v>
      </c>
      <c r="D344" s="31">
        <f t="shared" si="5"/>
        <v>0</v>
      </c>
      <c r="E344" s="32">
        <f t="shared" si="6"/>
        <v>0</v>
      </c>
      <c r="F344" s="33">
        <f t="shared" si="7"/>
        <v>5</v>
      </c>
      <c r="G344" s="43"/>
      <c r="H344" s="35"/>
      <c r="I344" s="42"/>
      <c r="J344" s="39"/>
      <c r="K344" s="40"/>
      <c r="L344" s="40"/>
      <c r="M344" s="41"/>
    </row>
    <row r="345" hidden="1">
      <c r="A345" s="28"/>
      <c r="B345" s="66" t="s">
        <v>46</v>
      </c>
      <c r="C345" s="72" t="s">
        <v>391</v>
      </c>
      <c r="D345" s="31">
        <f t="shared" si="5"/>
        <v>0</v>
      </c>
      <c r="E345" s="32">
        <f t="shared" si="6"/>
        <v>0</v>
      </c>
      <c r="F345" s="33">
        <f t="shared" si="7"/>
        <v>5</v>
      </c>
      <c r="G345" s="65"/>
      <c r="H345" s="44"/>
      <c r="I345" s="35"/>
      <c r="J345" s="45"/>
      <c r="K345" s="40"/>
      <c r="L345" s="40"/>
      <c r="M345" s="41"/>
    </row>
    <row r="346" hidden="1">
      <c r="A346" s="28"/>
      <c r="B346" s="66" t="s">
        <v>46</v>
      </c>
      <c r="C346" s="72" t="s">
        <v>392</v>
      </c>
      <c r="D346" s="31">
        <f t="shared" si="5"/>
        <v>0</v>
      </c>
      <c r="E346" s="32">
        <f t="shared" si="6"/>
        <v>0</v>
      </c>
      <c r="F346" s="33">
        <f t="shared" si="7"/>
        <v>5</v>
      </c>
      <c r="G346" s="43"/>
      <c r="H346" s="35"/>
      <c r="I346" s="35"/>
      <c r="J346" s="51"/>
      <c r="K346" s="40"/>
      <c r="L346" s="40"/>
      <c r="M346" s="41"/>
    </row>
    <row r="347" hidden="1">
      <c r="A347" s="29"/>
      <c r="B347" s="46" t="s">
        <v>60</v>
      </c>
      <c r="C347" s="30" t="s">
        <v>393</v>
      </c>
      <c r="D347" s="31">
        <f t="shared" si="5"/>
        <v>0</v>
      </c>
      <c r="E347" s="32">
        <f t="shared" si="6"/>
        <v>0</v>
      </c>
      <c r="F347" s="33">
        <f t="shared" si="7"/>
        <v>5</v>
      </c>
      <c r="G347" s="47"/>
      <c r="H347" s="35"/>
      <c r="I347" s="35"/>
      <c r="J347" s="46"/>
      <c r="K347" s="40"/>
      <c r="L347" s="40"/>
      <c r="M347" s="41"/>
    </row>
    <row r="348" hidden="1">
      <c r="A348" s="35"/>
      <c r="B348" s="42" t="s">
        <v>60</v>
      </c>
      <c r="C348" s="72" t="s">
        <v>394</v>
      </c>
      <c r="D348" s="31">
        <f t="shared" si="5"/>
        <v>0</v>
      </c>
      <c r="E348" s="32">
        <f t="shared" si="6"/>
        <v>0</v>
      </c>
      <c r="F348" s="33">
        <f t="shared" si="7"/>
        <v>5</v>
      </c>
      <c r="G348" s="43"/>
      <c r="H348" s="44"/>
      <c r="I348" s="35"/>
      <c r="J348" s="45"/>
      <c r="K348" s="48"/>
      <c r="L348" s="48"/>
      <c r="M348" s="49"/>
    </row>
    <row r="349" hidden="1">
      <c r="A349" s="35"/>
      <c r="B349" s="66" t="s">
        <v>51</v>
      </c>
      <c r="C349" s="72" t="s">
        <v>395</v>
      </c>
      <c r="D349" s="31">
        <f t="shared" si="5"/>
        <v>0</v>
      </c>
      <c r="E349" s="32">
        <f t="shared" si="6"/>
        <v>0</v>
      </c>
      <c r="F349" s="33">
        <f t="shared" si="7"/>
        <v>5</v>
      </c>
      <c r="G349" s="43"/>
      <c r="H349" s="44"/>
      <c r="I349" s="35"/>
      <c r="J349" s="51"/>
      <c r="K349" s="48"/>
      <c r="L349" s="48"/>
      <c r="M349" s="49"/>
    </row>
    <row r="350" hidden="1">
      <c r="A350" s="28"/>
      <c r="B350" s="29" t="s">
        <v>51</v>
      </c>
      <c r="C350" s="59" t="s">
        <v>396</v>
      </c>
      <c r="D350" s="31">
        <f t="shared" si="5"/>
        <v>0</v>
      </c>
      <c r="E350" s="32">
        <f t="shared" si="6"/>
        <v>0</v>
      </c>
      <c r="F350" s="33">
        <f t="shared" si="7"/>
        <v>5</v>
      </c>
      <c r="G350" s="60"/>
      <c r="H350" s="29"/>
      <c r="I350" s="35"/>
      <c r="J350" s="36"/>
      <c r="K350" s="37"/>
      <c r="L350" s="37"/>
      <c r="M350" s="38"/>
    </row>
    <row r="351" hidden="1">
      <c r="A351" s="73"/>
      <c r="B351" s="74" t="s">
        <v>55</v>
      </c>
      <c r="C351" s="71" t="s">
        <v>397</v>
      </c>
      <c r="D351" s="31">
        <f t="shared" si="5"/>
        <v>0</v>
      </c>
      <c r="E351" s="32">
        <f t="shared" si="6"/>
        <v>0</v>
      </c>
      <c r="F351" s="33">
        <f t="shared" si="7"/>
        <v>5</v>
      </c>
      <c r="G351" s="65"/>
      <c r="H351" s="35"/>
      <c r="I351" s="35"/>
      <c r="J351" s="45"/>
      <c r="K351" s="40"/>
      <c r="L351" s="40"/>
      <c r="M351" s="41"/>
    </row>
    <row r="352" hidden="1">
      <c r="A352" s="35"/>
      <c r="B352" s="44" t="s">
        <v>51</v>
      </c>
      <c r="C352" s="81" t="s">
        <v>398</v>
      </c>
      <c r="D352" s="31">
        <f t="shared" si="5"/>
        <v>0</v>
      </c>
      <c r="E352" s="32">
        <f t="shared" si="6"/>
        <v>0</v>
      </c>
      <c r="F352" s="33">
        <f t="shared" si="7"/>
        <v>5</v>
      </c>
      <c r="G352" s="34"/>
      <c r="H352" s="44"/>
      <c r="I352" s="35"/>
      <c r="J352" s="46"/>
      <c r="K352" s="40"/>
      <c r="L352" s="40"/>
      <c r="M352" s="41"/>
    </row>
    <row r="353">
      <c r="A353" s="82"/>
      <c r="B353" s="82"/>
      <c r="C353" s="83"/>
      <c r="D353" s="82"/>
      <c r="E353" s="82"/>
      <c r="F353" s="82"/>
      <c r="G353" s="82"/>
      <c r="H353" s="82"/>
      <c r="I353" s="82"/>
      <c r="J353" s="82"/>
      <c r="K353" s="82"/>
      <c r="L353" s="82"/>
      <c r="M353" s="82"/>
    </row>
    <row r="354">
      <c r="A354" s="82"/>
      <c r="B354" s="82"/>
      <c r="C354" s="83"/>
      <c r="D354" s="82"/>
      <c r="E354" s="82"/>
      <c r="F354" s="82"/>
      <c r="G354" s="82"/>
      <c r="H354" s="82"/>
      <c r="I354" s="82"/>
      <c r="J354" s="82"/>
      <c r="K354" s="82"/>
      <c r="L354" s="82"/>
      <c r="M354" s="82"/>
    </row>
    <row r="355">
      <c r="A355" s="82"/>
      <c r="B355" s="82"/>
      <c r="C355" s="83"/>
      <c r="D355" s="82"/>
      <c r="E355" s="82"/>
      <c r="F355" s="82"/>
      <c r="G355" s="82"/>
      <c r="H355" s="82"/>
      <c r="I355" s="82"/>
      <c r="J355" s="82"/>
      <c r="K355" s="82"/>
      <c r="L355" s="82"/>
      <c r="M355" s="82"/>
    </row>
    <row r="356">
      <c r="A356" s="82"/>
      <c r="B356" s="82"/>
      <c r="C356" s="83"/>
      <c r="D356" s="82"/>
      <c r="E356" s="82"/>
      <c r="F356" s="82"/>
      <c r="G356" s="82"/>
      <c r="H356" s="82"/>
      <c r="I356" s="82"/>
      <c r="J356" s="82"/>
      <c r="K356" s="82"/>
      <c r="L356" s="82"/>
      <c r="M356" s="82"/>
    </row>
    <row r="357">
      <c r="A357" s="82"/>
      <c r="B357" s="82"/>
      <c r="C357" s="83"/>
      <c r="D357" s="82"/>
      <c r="E357" s="82"/>
      <c r="F357" s="82"/>
      <c r="G357" s="82"/>
      <c r="H357" s="82"/>
      <c r="I357" s="82"/>
      <c r="J357" s="82"/>
      <c r="K357" s="82"/>
      <c r="L357" s="82"/>
      <c r="M357" s="82"/>
    </row>
    <row r="358">
      <c r="A358" s="82"/>
      <c r="B358" s="82"/>
      <c r="C358" s="83"/>
      <c r="D358" s="82"/>
      <c r="E358" s="82"/>
      <c r="F358" s="82"/>
      <c r="G358" s="82"/>
      <c r="H358" s="82"/>
      <c r="I358" s="82"/>
      <c r="J358" s="82"/>
      <c r="K358" s="82"/>
      <c r="L358" s="82"/>
      <c r="M358" s="82"/>
    </row>
    <row r="359">
      <c r="A359" s="82"/>
      <c r="B359" s="82"/>
      <c r="C359" s="83"/>
      <c r="D359" s="82"/>
      <c r="E359" s="82"/>
      <c r="F359" s="82"/>
      <c r="G359" s="82"/>
      <c r="H359" s="82"/>
      <c r="I359" s="82"/>
      <c r="J359" s="82"/>
      <c r="K359" s="82"/>
      <c r="L359" s="82"/>
      <c r="M359" s="82"/>
    </row>
    <row r="360">
      <c r="A360" s="82"/>
      <c r="B360" s="82"/>
      <c r="C360" s="83"/>
      <c r="D360" s="82"/>
      <c r="E360" s="82"/>
      <c r="F360" s="82"/>
      <c r="G360" s="82"/>
      <c r="H360" s="82"/>
      <c r="I360" s="82"/>
      <c r="J360" s="82"/>
      <c r="K360" s="82"/>
      <c r="L360" s="82"/>
      <c r="M360" s="82"/>
    </row>
    <row r="361">
      <c r="A361" s="82"/>
      <c r="B361" s="82"/>
      <c r="C361" s="83"/>
      <c r="D361" s="82"/>
      <c r="E361" s="82"/>
      <c r="F361" s="82"/>
      <c r="G361" s="82"/>
      <c r="H361" s="82"/>
      <c r="I361" s="82"/>
      <c r="J361" s="82"/>
      <c r="K361" s="82"/>
      <c r="L361" s="82"/>
      <c r="M361" s="82"/>
    </row>
    <row r="362">
      <c r="A362" s="82"/>
      <c r="B362" s="82"/>
      <c r="C362" s="83"/>
      <c r="D362" s="82"/>
      <c r="E362" s="82"/>
      <c r="F362" s="82"/>
      <c r="G362" s="82"/>
      <c r="H362" s="82"/>
      <c r="I362" s="82"/>
      <c r="J362" s="82"/>
      <c r="K362" s="82"/>
      <c r="L362" s="82"/>
      <c r="M362" s="82"/>
    </row>
    <row r="363">
      <c r="A363" s="82"/>
      <c r="B363" s="82"/>
      <c r="C363" s="83"/>
      <c r="D363" s="82"/>
      <c r="E363" s="82"/>
      <c r="F363" s="82"/>
      <c r="G363" s="82"/>
      <c r="H363" s="82"/>
      <c r="I363" s="82"/>
      <c r="J363" s="82"/>
      <c r="K363" s="82"/>
      <c r="L363" s="82"/>
      <c r="M363" s="82"/>
    </row>
    <row r="364">
      <c r="A364" s="82"/>
      <c r="B364" s="82"/>
      <c r="C364" s="83"/>
      <c r="D364" s="82"/>
      <c r="E364" s="82"/>
      <c r="F364" s="82"/>
      <c r="G364" s="82"/>
      <c r="H364" s="82"/>
      <c r="I364" s="82"/>
      <c r="J364" s="82"/>
      <c r="K364" s="82"/>
      <c r="L364" s="82"/>
      <c r="M364" s="82"/>
    </row>
    <row r="365">
      <c r="A365" s="82"/>
      <c r="B365" s="82"/>
      <c r="C365" s="83"/>
      <c r="D365" s="82"/>
      <c r="E365" s="82"/>
      <c r="F365" s="82"/>
      <c r="G365" s="82"/>
      <c r="H365" s="82"/>
      <c r="I365" s="82"/>
      <c r="J365" s="82"/>
      <c r="K365" s="82"/>
      <c r="L365" s="82"/>
      <c r="M365" s="82"/>
    </row>
    <row r="366">
      <c r="A366" s="82"/>
      <c r="B366" s="82"/>
      <c r="C366" s="83"/>
      <c r="D366" s="82"/>
      <c r="E366" s="82"/>
      <c r="F366" s="82"/>
      <c r="G366" s="82"/>
      <c r="H366" s="82"/>
      <c r="I366" s="82"/>
      <c r="J366" s="82"/>
      <c r="K366" s="82"/>
      <c r="L366" s="82"/>
      <c r="M366" s="82"/>
    </row>
    <row r="367">
      <c r="A367" s="82"/>
      <c r="B367" s="82"/>
      <c r="C367" s="83"/>
      <c r="D367" s="82"/>
      <c r="E367" s="82"/>
      <c r="F367" s="82"/>
      <c r="G367" s="82"/>
      <c r="H367" s="82"/>
      <c r="I367" s="82"/>
      <c r="J367" s="82"/>
      <c r="K367" s="82"/>
      <c r="L367" s="82"/>
      <c r="M367" s="82"/>
    </row>
    <row r="368">
      <c r="A368" s="82"/>
      <c r="B368" s="82"/>
      <c r="C368" s="83"/>
      <c r="D368" s="82"/>
      <c r="E368" s="82"/>
      <c r="F368" s="82"/>
      <c r="G368" s="82"/>
      <c r="H368" s="82"/>
      <c r="I368" s="82"/>
      <c r="J368" s="82"/>
      <c r="K368" s="82"/>
      <c r="L368" s="82"/>
      <c r="M368" s="82"/>
    </row>
    <row r="369">
      <c r="A369" s="82"/>
      <c r="B369" s="82"/>
      <c r="C369" s="83"/>
      <c r="D369" s="82"/>
      <c r="E369" s="82"/>
      <c r="F369" s="82"/>
      <c r="G369" s="82"/>
      <c r="H369" s="82"/>
      <c r="I369" s="82"/>
      <c r="J369" s="82"/>
      <c r="K369" s="82"/>
      <c r="L369" s="82"/>
      <c r="M369" s="82"/>
    </row>
    <row r="370">
      <c r="A370" s="82"/>
      <c r="B370" s="82"/>
      <c r="C370" s="83"/>
      <c r="D370" s="82"/>
      <c r="E370" s="82"/>
      <c r="F370" s="82"/>
      <c r="G370" s="82"/>
      <c r="H370" s="82"/>
      <c r="I370" s="82"/>
      <c r="J370" s="82"/>
      <c r="K370" s="82"/>
      <c r="L370" s="82"/>
      <c r="M370" s="82"/>
    </row>
    <row r="371">
      <c r="A371" s="82"/>
      <c r="B371" s="82"/>
      <c r="C371" s="83"/>
      <c r="D371" s="82"/>
      <c r="E371" s="82"/>
      <c r="F371" s="82"/>
      <c r="G371" s="82"/>
      <c r="H371" s="82"/>
      <c r="I371" s="82"/>
      <c r="J371" s="82"/>
      <c r="K371" s="82"/>
      <c r="L371" s="82"/>
      <c r="M371" s="82"/>
    </row>
    <row r="372">
      <c r="A372" s="82"/>
      <c r="B372" s="82"/>
      <c r="C372" s="83"/>
      <c r="D372" s="82"/>
      <c r="E372" s="82"/>
      <c r="F372" s="82"/>
      <c r="G372" s="82"/>
      <c r="H372" s="82"/>
      <c r="I372" s="82"/>
      <c r="J372" s="82"/>
      <c r="K372" s="82"/>
      <c r="L372" s="82"/>
      <c r="M372" s="82"/>
    </row>
    <row r="373">
      <c r="A373" s="82"/>
      <c r="B373" s="82"/>
      <c r="C373" s="83"/>
      <c r="D373" s="82"/>
      <c r="E373" s="82"/>
      <c r="F373" s="82"/>
      <c r="G373" s="82"/>
      <c r="H373" s="82"/>
      <c r="I373" s="82"/>
      <c r="J373" s="82"/>
      <c r="K373" s="82"/>
      <c r="L373" s="82"/>
      <c r="M373" s="82"/>
    </row>
    <row r="374">
      <c r="A374" s="82"/>
      <c r="B374" s="82"/>
      <c r="C374" s="83"/>
      <c r="D374" s="82"/>
      <c r="E374" s="82"/>
      <c r="F374" s="82"/>
      <c r="G374" s="82"/>
      <c r="H374" s="82"/>
      <c r="I374" s="82"/>
      <c r="J374" s="82"/>
      <c r="K374" s="82"/>
      <c r="L374" s="82"/>
      <c r="M374" s="82"/>
    </row>
    <row r="375">
      <c r="A375" s="82"/>
      <c r="B375" s="82"/>
      <c r="C375" s="83"/>
      <c r="D375" s="82"/>
      <c r="E375" s="82"/>
      <c r="F375" s="82"/>
      <c r="G375" s="82"/>
      <c r="H375" s="82"/>
      <c r="I375" s="82"/>
      <c r="J375" s="82"/>
      <c r="K375" s="82"/>
      <c r="L375" s="82"/>
      <c r="M375" s="82"/>
    </row>
    <row r="376">
      <c r="A376" s="82"/>
      <c r="B376" s="82"/>
      <c r="C376" s="83"/>
      <c r="D376" s="82"/>
      <c r="E376" s="82"/>
      <c r="F376" s="82"/>
      <c r="G376" s="82"/>
      <c r="H376" s="82"/>
      <c r="I376" s="82"/>
      <c r="J376" s="82"/>
      <c r="K376" s="82"/>
      <c r="L376" s="82"/>
      <c r="M376" s="82"/>
    </row>
    <row r="377">
      <c r="A377" s="82"/>
      <c r="B377" s="82"/>
      <c r="C377" s="83"/>
      <c r="D377" s="82"/>
      <c r="E377" s="82"/>
      <c r="F377" s="82"/>
      <c r="G377" s="82"/>
      <c r="H377" s="82"/>
      <c r="I377" s="82"/>
      <c r="J377" s="82"/>
      <c r="K377" s="82"/>
      <c r="L377" s="82"/>
      <c r="M377" s="82"/>
    </row>
    <row r="378">
      <c r="A378" s="82"/>
      <c r="B378" s="82"/>
      <c r="C378" s="83"/>
      <c r="D378" s="82"/>
      <c r="E378" s="82"/>
      <c r="F378" s="82"/>
      <c r="G378" s="82"/>
      <c r="H378" s="82"/>
      <c r="I378" s="82"/>
      <c r="J378" s="82"/>
      <c r="K378" s="82"/>
      <c r="L378" s="82"/>
      <c r="M378" s="82"/>
    </row>
    <row r="379">
      <c r="A379" s="82"/>
      <c r="B379" s="82"/>
      <c r="C379" s="83"/>
      <c r="D379" s="82"/>
      <c r="E379" s="82"/>
      <c r="F379" s="82"/>
      <c r="G379" s="82"/>
      <c r="H379" s="82"/>
      <c r="I379" s="82"/>
      <c r="J379" s="82"/>
      <c r="K379" s="82"/>
      <c r="L379" s="82"/>
      <c r="M379" s="82"/>
    </row>
    <row r="380">
      <c r="A380" s="82"/>
      <c r="B380" s="82"/>
      <c r="C380" s="83"/>
      <c r="D380" s="82"/>
      <c r="E380" s="82"/>
      <c r="F380" s="82"/>
      <c r="G380" s="82"/>
      <c r="H380" s="82"/>
      <c r="I380" s="82"/>
      <c r="J380" s="82"/>
      <c r="K380" s="82"/>
      <c r="L380" s="82"/>
      <c r="M380" s="82"/>
    </row>
    <row r="381">
      <c r="A381" s="82"/>
      <c r="B381" s="82"/>
      <c r="C381" s="83"/>
      <c r="D381" s="82"/>
      <c r="E381" s="82"/>
      <c r="F381" s="82"/>
      <c r="G381" s="82"/>
      <c r="H381" s="82"/>
      <c r="I381" s="82"/>
      <c r="J381" s="82"/>
      <c r="K381" s="82"/>
      <c r="L381" s="82"/>
      <c r="M381" s="82"/>
    </row>
    <row r="382">
      <c r="A382" s="82"/>
      <c r="B382" s="82"/>
      <c r="C382" s="83"/>
      <c r="D382" s="82"/>
      <c r="E382" s="82"/>
      <c r="F382" s="82"/>
      <c r="G382" s="82"/>
      <c r="H382" s="82"/>
      <c r="I382" s="82"/>
      <c r="J382" s="82"/>
      <c r="K382" s="82"/>
      <c r="L382" s="82"/>
      <c r="M382" s="82"/>
    </row>
    <row r="383">
      <c r="A383" s="82"/>
      <c r="B383" s="82"/>
      <c r="C383" s="83"/>
      <c r="D383" s="82"/>
      <c r="E383" s="82"/>
      <c r="F383" s="82"/>
      <c r="G383" s="82"/>
      <c r="H383" s="82"/>
      <c r="I383" s="82"/>
      <c r="J383" s="82"/>
      <c r="K383" s="82"/>
      <c r="L383" s="82"/>
      <c r="M383" s="82"/>
    </row>
    <row r="384">
      <c r="A384" s="82"/>
      <c r="B384" s="82"/>
      <c r="C384" s="83"/>
      <c r="D384" s="82"/>
      <c r="E384" s="82"/>
      <c r="F384" s="82"/>
      <c r="G384" s="82"/>
      <c r="H384" s="82"/>
      <c r="I384" s="82"/>
      <c r="J384" s="82"/>
      <c r="K384" s="82"/>
      <c r="L384" s="82"/>
      <c r="M384" s="82"/>
    </row>
    <row r="385">
      <c r="A385" s="82"/>
      <c r="B385" s="82"/>
      <c r="C385" s="83"/>
      <c r="D385" s="82"/>
      <c r="E385" s="82"/>
      <c r="F385" s="82"/>
      <c r="G385" s="82"/>
      <c r="H385" s="82"/>
      <c r="I385" s="82"/>
      <c r="J385" s="82"/>
      <c r="K385" s="82"/>
      <c r="L385" s="82"/>
      <c r="M385" s="82"/>
    </row>
    <row r="386">
      <c r="A386" s="82"/>
      <c r="B386" s="82"/>
      <c r="C386" s="83"/>
      <c r="D386" s="82"/>
      <c r="E386" s="82"/>
      <c r="F386" s="82"/>
      <c r="G386" s="82"/>
      <c r="H386" s="82"/>
      <c r="I386" s="82"/>
      <c r="J386" s="82"/>
      <c r="K386" s="82"/>
      <c r="L386" s="82"/>
      <c r="M386" s="82"/>
    </row>
    <row r="387">
      <c r="A387" s="82"/>
      <c r="B387" s="82"/>
      <c r="C387" s="83"/>
      <c r="D387" s="82"/>
      <c r="E387" s="82"/>
      <c r="F387" s="82"/>
      <c r="G387" s="82"/>
      <c r="H387" s="82"/>
      <c r="I387" s="82"/>
      <c r="J387" s="82"/>
      <c r="K387" s="82"/>
      <c r="L387" s="82"/>
      <c r="M387" s="82"/>
    </row>
    <row r="388">
      <c r="A388" s="82"/>
      <c r="B388" s="82"/>
      <c r="C388" s="83"/>
      <c r="D388" s="82"/>
      <c r="E388" s="82"/>
      <c r="F388" s="82"/>
      <c r="G388" s="82"/>
      <c r="H388" s="82"/>
      <c r="I388" s="82"/>
      <c r="J388" s="82"/>
      <c r="K388" s="82"/>
      <c r="L388" s="82"/>
      <c r="M388" s="82"/>
    </row>
    <row r="389">
      <c r="A389" s="82"/>
      <c r="B389" s="82"/>
      <c r="C389" s="83"/>
      <c r="D389" s="82"/>
      <c r="E389" s="82"/>
      <c r="F389" s="82"/>
      <c r="G389" s="82"/>
      <c r="H389" s="82"/>
      <c r="I389" s="82"/>
      <c r="J389" s="82"/>
      <c r="K389" s="82"/>
      <c r="L389" s="82"/>
      <c r="M389" s="82"/>
    </row>
    <row r="390">
      <c r="A390" s="82"/>
      <c r="B390" s="82"/>
      <c r="C390" s="83"/>
      <c r="D390" s="82"/>
      <c r="E390" s="82"/>
      <c r="F390" s="82"/>
      <c r="G390" s="82"/>
      <c r="H390" s="82"/>
      <c r="I390" s="82"/>
      <c r="J390" s="82"/>
      <c r="K390" s="82"/>
      <c r="L390" s="82"/>
      <c r="M390" s="82"/>
    </row>
    <row r="391">
      <c r="A391" s="82"/>
      <c r="B391" s="82"/>
      <c r="C391" s="83"/>
      <c r="D391" s="82"/>
      <c r="E391" s="82"/>
      <c r="F391" s="82"/>
      <c r="G391" s="82"/>
      <c r="H391" s="82"/>
      <c r="I391" s="82"/>
      <c r="J391" s="82"/>
      <c r="K391" s="82"/>
      <c r="L391" s="82"/>
      <c r="M391" s="82"/>
    </row>
    <row r="392">
      <c r="A392" s="82"/>
      <c r="B392" s="82"/>
      <c r="C392" s="83"/>
      <c r="D392" s="82"/>
      <c r="E392" s="82"/>
      <c r="F392" s="82"/>
      <c r="G392" s="82"/>
      <c r="H392" s="82"/>
      <c r="I392" s="82"/>
      <c r="J392" s="82"/>
      <c r="K392" s="82"/>
      <c r="L392" s="82"/>
      <c r="M392" s="82"/>
    </row>
    <row r="393">
      <c r="A393" s="82"/>
      <c r="B393" s="82"/>
      <c r="C393" s="83"/>
      <c r="D393" s="82"/>
      <c r="E393" s="82"/>
      <c r="F393" s="82"/>
      <c r="G393" s="82"/>
      <c r="H393" s="82"/>
      <c r="I393" s="82"/>
      <c r="J393" s="82"/>
      <c r="K393" s="82"/>
      <c r="L393" s="82"/>
      <c r="M393" s="82"/>
    </row>
    <row r="394">
      <c r="A394" s="82"/>
      <c r="B394" s="82"/>
      <c r="C394" s="83"/>
      <c r="D394" s="82"/>
      <c r="E394" s="82"/>
      <c r="F394" s="82"/>
      <c r="G394" s="82"/>
      <c r="H394" s="82"/>
      <c r="I394" s="82"/>
      <c r="J394" s="82"/>
      <c r="K394" s="82"/>
      <c r="L394" s="82"/>
      <c r="M394" s="82"/>
    </row>
    <row r="395">
      <c r="A395" s="82"/>
      <c r="B395" s="82"/>
      <c r="C395" s="83"/>
      <c r="D395" s="82"/>
      <c r="E395" s="82"/>
      <c r="F395" s="82"/>
      <c r="G395" s="82"/>
      <c r="H395" s="82"/>
      <c r="I395" s="82"/>
      <c r="J395" s="82"/>
      <c r="K395" s="82"/>
      <c r="L395" s="82"/>
      <c r="M395" s="82"/>
    </row>
    <row r="396">
      <c r="A396" s="82"/>
      <c r="B396" s="82"/>
      <c r="C396" s="83"/>
      <c r="D396" s="82"/>
      <c r="E396" s="82"/>
      <c r="F396" s="82"/>
      <c r="G396" s="82"/>
      <c r="H396" s="82"/>
      <c r="I396" s="82"/>
      <c r="J396" s="82"/>
      <c r="K396" s="82"/>
      <c r="L396" s="82"/>
      <c r="M396" s="82"/>
    </row>
    <row r="397">
      <c r="A397" s="82"/>
      <c r="B397" s="82"/>
      <c r="C397" s="83"/>
      <c r="D397" s="82"/>
      <c r="E397" s="82"/>
      <c r="F397" s="82"/>
      <c r="G397" s="82"/>
      <c r="H397" s="82"/>
      <c r="I397" s="82"/>
      <c r="J397" s="82"/>
      <c r="K397" s="82"/>
      <c r="L397" s="82"/>
      <c r="M397" s="82"/>
    </row>
    <row r="398">
      <c r="A398" s="82"/>
      <c r="B398" s="82"/>
      <c r="C398" s="83"/>
      <c r="D398" s="82"/>
      <c r="E398" s="82"/>
      <c r="F398" s="82"/>
      <c r="G398" s="82"/>
      <c r="H398" s="82"/>
      <c r="I398" s="82"/>
      <c r="J398" s="82"/>
      <c r="K398" s="82"/>
      <c r="L398" s="82"/>
      <c r="M398" s="82"/>
    </row>
    <row r="399">
      <c r="A399" s="82"/>
      <c r="B399" s="82"/>
      <c r="C399" s="83"/>
      <c r="D399" s="82"/>
      <c r="E399" s="82"/>
      <c r="F399" s="82"/>
      <c r="G399" s="82"/>
      <c r="H399" s="82"/>
      <c r="I399" s="82"/>
      <c r="J399" s="82"/>
      <c r="K399" s="82"/>
      <c r="L399" s="82"/>
      <c r="M399" s="82"/>
    </row>
    <row r="400">
      <c r="A400" s="82"/>
      <c r="B400" s="82"/>
      <c r="C400" s="83"/>
      <c r="D400" s="82"/>
      <c r="E400" s="82"/>
      <c r="F400" s="82"/>
      <c r="G400" s="82"/>
      <c r="H400" s="82"/>
      <c r="I400" s="82"/>
      <c r="J400" s="82"/>
      <c r="K400" s="82"/>
      <c r="L400" s="82"/>
      <c r="M400" s="82"/>
    </row>
    <row r="401">
      <c r="A401" s="82"/>
      <c r="B401" s="82"/>
      <c r="C401" s="83"/>
      <c r="D401" s="82"/>
      <c r="E401" s="82"/>
      <c r="F401" s="82"/>
      <c r="G401" s="82"/>
      <c r="H401" s="82"/>
      <c r="I401" s="82"/>
      <c r="J401" s="82"/>
      <c r="K401" s="82"/>
      <c r="L401" s="82"/>
      <c r="M401" s="82"/>
    </row>
    <row r="402">
      <c r="A402" s="82"/>
      <c r="B402" s="82"/>
      <c r="C402" s="83"/>
      <c r="D402" s="82"/>
      <c r="E402" s="82"/>
      <c r="F402" s="82"/>
      <c r="G402" s="82"/>
      <c r="H402" s="82"/>
      <c r="I402" s="82"/>
      <c r="J402" s="82"/>
      <c r="K402" s="82"/>
      <c r="L402" s="82"/>
      <c r="M402" s="82"/>
    </row>
    <row r="403">
      <c r="A403" s="82"/>
      <c r="B403" s="82"/>
      <c r="C403" s="83"/>
      <c r="D403" s="82"/>
      <c r="E403" s="82"/>
      <c r="F403" s="82"/>
      <c r="G403" s="82"/>
      <c r="H403" s="82"/>
      <c r="I403" s="82"/>
      <c r="J403" s="82"/>
      <c r="K403" s="82"/>
      <c r="L403" s="82"/>
      <c r="M403" s="82"/>
    </row>
    <row r="404">
      <c r="A404" s="82"/>
      <c r="B404" s="82"/>
      <c r="C404" s="83"/>
      <c r="D404" s="82"/>
      <c r="E404" s="82"/>
      <c r="F404" s="82"/>
      <c r="G404" s="82"/>
      <c r="H404" s="82"/>
      <c r="I404" s="82"/>
      <c r="J404" s="82"/>
      <c r="K404" s="82"/>
      <c r="L404" s="82"/>
      <c r="M404" s="82"/>
    </row>
    <row r="405">
      <c r="A405" s="82"/>
      <c r="B405" s="82"/>
      <c r="C405" s="83"/>
      <c r="D405" s="82"/>
      <c r="E405" s="82"/>
      <c r="F405" s="82"/>
      <c r="G405" s="82"/>
      <c r="H405" s="82"/>
      <c r="I405" s="82"/>
      <c r="J405" s="82"/>
      <c r="K405" s="82"/>
      <c r="L405" s="82"/>
      <c r="M405" s="82"/>
    </row>
    <row r="406">
      <c r="A406" s="82"/>
      <c r="B406" s="82"/>
      <c r="C406" s="83"/>
      <c r="D406" s="82"/>
      <c r="E406" s="82"/>
      <c r="F406" s="82"/>
      <c r="G406" s="82"/>
      <c r="H406" s="82"/>
      <c r="I406" s="82"/>
      <c r="J406" s="82"/>
      <c r="K406" s="82"/>
      <c r="L406" s="82"/>
      <c r="M406" s="82"/>
    </row>
    <row r="407">
      <c r="A407" s="82"/>
      <c r="B407" s="82"/>
      <c r="C407" s="83"/>
      <c r="D407" s="82"/>
      <c r="E407" s="82"/>
      <c r="F407" s="82"/>
      <c r="G407" s="82"/>
      <c r="H407" s="82"/>
      <c r="I407" s="82"/>
      <c r="J407" s="82"/>
      <c r="K407" s="82"/>
      <c r="L407" s="82"/>
      <c r="M407" s="82"/>
    </row>
    <row r="408">
      <c r="A408" s="82"/>
      <c r="B408" s="82"/>
      <c r="C408" s="83"/>
      <c r="D408" s="82"/>
      <c r="E408" s="82"/>
      <c r="F408" s="82"/>
      <c r="G408" s="82"/>
      <c r="H408" s="82"/>
      <c r="I408" s="82"/>
      <c r="J408" s="82"/>
      <c r="K408" s="82"/>
      <c r="L408" s="82"/>
      <c r="M408" s="82"/>
    </row>
    <row r="409">
      <c r="A409" s="82"/>
      <c r="B409" s="82"/>
      <c r="C409" s="83"/>
      <c r="D409" s="82"/>
      <c r="E409" s="82"/>
      <c r="F409" s="82"/>
      <c r="G409" s="82"/>
      <c r="H409" s="82"/>
      <c r="I409" s="82"/>
      <c r="J409" s="82"/>
      <c r="K409" s="82"/>
      <c r="L409" s="82"/>
      <c r="M409" s="82"/>
    </row>
    <row r="410">
      <c r="A410" s="82"/>
      <c r="B410" s="82"/>
      <c r="C410" s="83"/>
      <c r="D410" s="82"/>
      <c r="E410" s="82"/>
      <c r="F410" s="82"/>
      <c r="G410" s="82"/>
      <c r="H410" s="82"/>
      <c r="I410" s="82"/>
      <c r="J410" s="82"/>
      <c r="K410" s="82"/>
      <c r="L410" s="82"/>
      <c r="M410" s="82"/>
    </row>
    <row r="411">
      <c r="A411" s="82"/>
      <c r="B411" s="82"/>
      <c r="C411" s="83"/>
      <c r="D411" s="82"/>
      <c r="E411" s="82"/>
      <c r="F411" s="82"/>
      <c r="G411" s="82"/>
      <c r="H411" s="82"/>
      <c r="I411" s="82"/>
      <c r="J411" s="82"/>
      <c r="K411" s="82"/>
      <c r="L411" s="82"/>
      <c r="M411" s="82"/>
    </row>
    <row r="412">
      <c r="A412" s="82"/>
      <c r="B412" s="82"/>
      <c r="C412" s="83"/>
      <c r="D412" s="82"/>
      <c r="E412" s="82"/>
      <c r="F412" s="82"/>
      <c r="G412" s="82"/>
      <c r="H412" s="82"/>
      <c r="I412" s="82"/>
      <c r="J412" s="82"/>
      <c r="K412" s="82"/>
      <c r="L412" s="82"/>
      <c r="M412" s="82"/>
    </row>
    <row r="413">
      <c r="A413" s="82"/>
      <c r="B413" s="82"/>
      <c r="C413" s="83"/>
      <c r="D413" s="82"/>
      <c r="E413" s="82"/>
      <c r="F413" s="82"/>
      <c r="G413" s="82"/>
      <c r="H413" s="82"/>
      <c r="I413" s="82"/>
      <c r="J413" s="82"/>
      <c r="K413" s="82"/>
      <c r="L413" s="82"/>
      <c r="M413" s="82"/>
    </row>
    <row r="414">
      <c r="A414" s="82"/>
      <c r="B414" s="82"/>
      <c r="C414" s="83"/>
      <c r="D414" s="82"/>
      <c r="E414" s="82"/>
      <c r="F414" s="82"/>
      <c r="G414" s="82"/>
      <c r="H414" s="82"/>
      <c r="I414" s="82"/>
      <c r="J414" s="82"/>
      <c r="K414" s="82"/>
      <c r="L414" s="82"/>
      <c r="M414" s="82"/>
    </row>
    <row r="415">
      <c r="A415" s="82"/>
      <c r="B415" s="82"/>
      <c r="C415" s="83"/>
      <c r="D415" s="82"/>
      <c r="E415" s="82"/>
      <c r="F415" s="82"/>
      <c r="G415" s="82"/>
      <c r="H415" s="82"/>
      <c r="I415" s="82"/>
      <c r="J415" s="82"/>
      <c r="K415" s="82"/>
      <c r="L415" s="82"/>
      <c r="M415" s="82"/>
    </row>
    <row r="416">
      <c r="A416" s="82"/>
      <c r="B416" s="82"/>
      <c r="C416" s="83"/>
      <c r="D416" s="82"/>
      <c r="E416" s="82"/>
      <c r="F416" s="82"/>
      <c r="G416" s="82"/>
      <c r="H416" s="82"/>
      <c r="I416" s="82"/>
      <c r="J416" s="82"/>
      <c r="K416" s="82"/>
      <c r="L416" s="82"/>
      <c r="M416" s="82"/>
    </row>
    <row r="417">
      <c r="A417" s="82"/>
      <c r="B417" s="82"/>
      <c r="C417" s="83"/>
      <c r="D417" s="82"/>
      <c r="E417" s="82"/>
      <c r="F417" s="82"/>
      <c r="G417" s="82"/>
      <c r="H417" s="82"/>
      <c r="I417" s="82"/>
      <c r="J417" s="82"/>
      <c r="K417" s="82"/>
      <c r="L417" s="82"/>
      <c r="M417" s="82"/>
    </row>
    <row r="418">
      <c r="A418" s="82"/>
      <c r="B418" s="82"/>
      <c r="C418" s="83"/>
      <c r="D418" s="82"/>
      <c r="E418" s="82"/>
      <c r="F418" s="82"/>
      <c r="G418" s="82"/>
      <c r="H418" s="82"/>
      <c r="I418" s="82"/>
      <c r="J418" s="82"/>
      <c r="K418" s="82"/>
      <c r="L418" s="82"/>
      <c r="M418" s="82"/>
    </row>
    <row r="419">
      <c r="A419" s="82"/>
      <c r="B419" s="82"/>
      <c r="C419" s="83"/>
      <c r="D419" s="82"/>
      <c r="E419" s="82"/>
      <c r="F419" s="82"/>
      <c r="G419" s="82"/>
      <c r="H419" s="82"/>
      <c r="I419" s="82"/>
      <c r="J419" s="82"/>
      <c r="K419" s="82"/>
      <c r="L419" s="82"/>
      <c r="M419" s="82"/>
    </row>
    <row r="420">
      <c r="A420" s="82"/>
      <c r="B420" s="82"/>
      <c r="C420" s="83"/>
      <c r="D420" s="82"/>
      <c r="E420" s="82"/>
      <c r="F420" s="82"/>
      <c r="G420" s="82"/>
      <c r="H420" s="82"/>
      <c r="I420" s="82"/>
      <c r="J420" s="82"/>
      <c r="K420" s="82"/>
      <c r="L420" s="82"/>
      <c r="M420" s="82"/>
    </row>
    <row r="421">
      <c r="A421" s="82"/>
      <c r="B421" s="82"/>
      <c r="C421" s="83"/>
      <c r="D421" s="82"/>
      <c r="E421" s="82"/>
      <c r="F421" s="82"/>
      <c r="G421" s="82"/>
      <c r="H421" s="82"/>
      <c r="I421" s="82"/>
      <c r="J421" s="82"/>
      <c r="K421" s="82"/>
      <c r="L421" s="82"/>
      <c r="M421" s="82"/>
    </row>
    <row r="422">
      <c r="A422" s="82"/>
      <c r="B422" s="82"/>
      <c r="C422" s="83"/>
      <c r="D422" s="82"/>
      <c r="E422" s="82"/>
      <c r="F422" s="82"/>
      <c r="G422" s="82"/>
      <c r="H422" s="82"/>
      <c r="I422" s="82"/>
      <c r="J422" s="82"/>
      <c r="K422" s="82"/>
      <c r="L422" s="82"/>
      <c r="M422" s="82"/>
    </row>
    <row r="423">
      <c r="A423" s="82"/>
      <c r="B423" s="82"/>
      <c r="C423" s="83"/>
      <c r="D423" s="82"/>
      <c r="E423" s="82"/>
      <c r="F423" s="82"/>
      <c r="G423" s="82"/>
      <c r="H423" s="82"/>
      <c r="I423" s="82"/>
      <c r="J423" s="82"/>
      <c r="K423" s="82"/>
      <c r="L423" s="82"/>
      <c r="M423" s="82"/>
    </row>
    <row r="424">
      <c r="A424" s="82"/>
      <c r="B424" s="82"/>
      <c r="C424" s="83"/>
      <c r="D424" s="82"/>
      <c r="E424" s="82"/>
      <c r="F424" s="82"/>
      <c r="G424" s="82"/>
      <c r="H424" s="82"/>
      <c r="I424" s="82"/>
      <c r="J424" s="82"/>
      <c r="K424" s="82"/>
      <c r="L424" s="82"/>
      <c r="M424" s="82"/>
    </row>
    <row r="425">
      <c r="A425" s="82"/>
      <c r="B425" s="82"/>
      <c r="C425" s="83"/>
      <c r="D425" s="82"/>
      <c r="E425" s="82"/>
      <c r="F425" s="82"/>
      <c r="G425" s="82"/>
      <c r="H425" s="82"/>
      <c r="I425" s="82"/>
      <c r="J425" s="82"/>
      <c r="K425" s="82"/>
      <c r="L425" s="82"/>
      <c r="M425" s="82"/>
    </row>
    <row r="426">
      <c r="A426" s="82"/>
      <c r="B426" s="82"/>
      <c r="C426" s="83"/>
      <c r="D426" s="82"/>
      <c r="E426" s="82"/>
      <c r="F426" s="82"/>
      <c r="G426" s="82"/>
      <c r="H426" s="82"/>
      <c r="I426" s="82"/>
      <c r="J426" s="82"/>
      <c r="K426" s="82"/>
      <c r="L426" s="82"/>
      <c r="M426" s="82"/>
    </row>
    <row r="427">
      <c r="A427" s="82"/>
      <c r="B427" s="82"/>
      <c r="C427" s="83"/>
      <c r="D427" s="82"/>
      <c r="E427" s="82"/>
      <c r="F427" s="82"/>
      <c r="G427" s="82"/>
      <c r="H427" s="82"/>
      <c r="I427" s="82"/>
      <c r="J427" s="82"/>
      <c r="K427" s="82"/>
      <c r="L427" s="82"/>
      <c r="M427" s="82"/>
    </row>
    <row r="428">
      <c r="A428" s="82"/>
      <c r="B428" s="82"/>
      <c r="C428" s="83"/>
      <c r="D428" s="82"/>
      <c r="E428" s="82"/>
      <c r="F428" s="82"/>
      <c r="G428" s="82"/>
      <c r="H428" s="82"/>
      <c r="I428" s="82"/>
      <c r="J428" s="82"/>
      <c r="K428" s="82"/>
      <c r="L428" s="82"/>
      <c r="M428" s="82"/>
    </row>
    <row r="429">
      <c r="A429" s="82"/>
      <c r="B429" s="82"/>
      <c r="C429" s="83"/>
      <c r="D429" s="82"/>
      <c r="E429" s="82"/>
      <c r="F429" s="82"/>
      <c r="G429" s="82"/>
      <c r="H429" s="82"/>
      <c r="I429" s="82"/>
      <c r="J429" s="82"/>
      <c r="K429" s="82"/>
      <c r="L429" s="82"/>
      <c r="M429" s="82"/>
    </row>
    <row r="430">
      <c r="A430" s="82"/>
      <c r="B430" s="82"/>
      <c r="C430" s="83"/>
      <c r="D430" s="82"/>
      <c r="E430" s="82"/>
      <c r="F430" s="82"/>
      <c r="G430" s="82"/>
      <c r="H430" s="82"/>
      <c r="I430" s="82"/>
      <c r="J430" s="82"/>
      <c r="K430" s="82"/>
      <c r="L430" s="82"/>
      <c r="M430" s="82"/>
    </row>
    <row r="431">
      <c r="A431" s="82"/>
      <c r="B431" s="82"/>
      <c r="C431" s="83"/>
      <c r="D431" s="82"/>
      <c r="E431" s="82"/>
      <c r="F431" s="82"/>
      <c r="G431" s="82"/>
      <c r="H431" s="82"/>
      <c r="I431" s="82"/>
      <c r="J431" s="82"/>
      <c r="K431" s="82"/>
      <c r="L431" s="82"/>
      <c r="M431" s="82"/>
    </row>
    <row r="432">
      <c r="A432" s="82"/>
      <c r="B432" s="82"/>
      <c r="C432" s="83"/>
      <c r="D432" s="82"/>
      <c r="E432" s="82"/>
      <c r="F432" s="82"/>
      <c r="G432" s="82"/>
      <c r="H432" s="82"/>
      <c r="I432" s="82"/>
      <c r="J432" s="82"/>
      <c r="K432" s="82"/>
      <c r="L432" s="82"/>
      <c r="M432" s="82"/>
    </row>
    <row r="433">
      <c r="A433" s="82"/>
      <c r="B433" s="82"/>
      <c r="C433" s="83"/>
      <c r="D433" s="82"/>
      <c r="E433" s="82"/>
      <c r="F433" s="82"/>
      <c r="G433" s="82"/>
      <c r="H433" s="82"/>
      <c r="I433" s="82"/>
      <c r="J433" s="82"/>
      <c r="K433" s="82"/>
      <c r="L433" s="82"/>
      <c r="M433" s="82"/>
    </row>
    <row r="434">
      <c r="A434" s="82"/>
      <c r="B434" s="82"/>
      <c r="C434" s="83"/>
      <c r="D434" s="82"/>
      <c r="E434" s="82"/>
      <c r="F434" s="82"/>
      <c r="G434" s="82"/>
      <c r="H434" s="82"/>
      <c r="I434" s="82"/>
      <c r="J434" s="82"/>
      <c r="K434" s="82"/>
      <c r="L434" s="82"/>
      <c r="M434" s="82"/>
    </row>
    <row r="435">
      <c r="A435" s="82"/>
      <c r="B435" s="82"/>
      <c r="C435" s="83"/>
      <c r="D435" s="82"/>
      <c r="E435" s="82"/>
      <c r="F435" s="82"/>
      <c r="G435" s="82"/>
      <c r="H435" s="82"/>
      <c r="I435" s="82"/>
      <c r="J435" s="82"/>
      <c r="K435" s="82"/>
      <c r="L435" s="82"/>
      <c r="M435" s="82"/>
    </row>
    <row r="436">
      <c r="A436" s="82"/>
      <c r="B436" s="82"/>
      <c r="C436" s="83"/>
      <c r="D436" s="82"/>
      <c r="E436" s="82"/>
      <c r="F436" s="82"/>
      <c r="G436" s="82"/>
      <c r="H436" s="82"/>
      <c r="I436" s="82"/>
      <c r="J436" s="82"/>
      <c r="K436" s="82"/>
      <c r="L436" s="82"/>
      <c r="M436" s="82"/>
    </row>
    <row r="437">
      <c r="A437" s="82"/>
      <c r="B437" s="82"/>
      <c r="C437" s="83"/>
      <c r="D437" s="82"/>
      <c r="E437" s="82"/>
      <c r="F437" s="82"/>
      <c r="G437" s="82"/>
      <c r="H437" s="82"/>
      <c r="I437" s="82"/>
      <c r="J437" s="82"/>
      <c r="K437" s="82"/>
      <c r="L437" s="82"/>
      <c r="M437" s="82"/>
    </row>
    <row r="438">
      <c r="A438" s="82"/>
      <c r="B438" s="82"/>
      <c r="C438" s="83"/>
      <c r="D438" s="82"/>
      <c r="E438" s="82"/>
      <c r="F438" s="82"/>
      <c r="G438" s="82"/>
      <c r="H438" s="82"/>
      <c r="I438" s="82"/>
      <c r="J438" s="82"/>
      <c r="K438" s="82"/>
      <c r="L438" s="82"/>
      <c r="M438" s="82"/>
    </row>
    <row r="439">
      <c r="A439" s="82"/>
      <c r="B439" s="82"/>
      <c r="C439" s="83"/>
      <c r="D439" s="82"/>
      <c r="E439" s="82"/>
      <c r="F439" s="82"/>
      <c r="G439" s="82"/>
      <c r="H439" s="82"/>
      <c r="I439" s="82"/>
      <c r="J439" s="82"/>
      <c r="K439" s="82"/>
      <c r="L439" s="82"/>
      <c r="M439" s="82"/>
    </row>
    <row r="440">
      <c r="A440" s="82"/>
      <c r="B440" s="82"/>
      <c r="C440" s="83"/>
      <c r="D440" s="82"/>
      <c r="E440" s="82"/>
      <c r="F440" s="82"/>
      <c r="G440" s="82"/>
      <c r="H440" s="82"/>
      <c r="I440" s="82"/>
      <c r="J440" s="82"/>
      <c r="K440" s="82"/>
      <c r="L440" s="82"/>
      <c r="M440" s="82"/>
    </row>
    <row r="441">
      <c r="A441" s="82"/>
      <c r="B441" s="82"/>
      <c r="C441" s="83"/>
      <c r="D441" s="82"/>
      <c r="E441" s="82"/>
      <c r="F441" s="82"/>
      <c r="G441" s="82"/>
      <c r="H441" s="82"/>
      <c r="I441" s="82"/>
      <c r="J441" s="82"/>
      <c r="K441" s="82"/>
      <c r="L441" s="82"/>
      <c r="M441" s="82"/>
    </row>
    <row r="442">
      <c r="A442" s="82"/>
      <c r="B442" s="82"/>
      <c r="C442" s="83"/>
      <c r="D442" s="82"/>
      <c r="E442" s="82"/>
      <c r="F442" s="82"/>
      <c r="G442" s="82"/>
      <c r="H442" s="82"/>
      <c r="I442" s="82"/>
      <c r="J442" s="82"/>
      <c r="K442" s="82"/>
      <c r="L442" s="82"/>
      <c r="M442" s="82"/>
    </row>
    <row r="443">
      <c r="A443" s="82"/>
      <c r="B443" s="82"/>
      <c r="C443" s="83"/>
      <c r="D443" s="82"/>
      <c r="E443" s="82"/>
      <c r="F443" s="82"/>
      <c r="G443" s="82"/>
      <c r="H443" s="82"/>
      <c r="I443" s="82"/>
      <c r="J443" s="82"/>
      <c r="K443" s="82"/>
      <c r="L443" s="82"/>
      <c r="M443" s="82"/>
    </row>
    <row r="444">
      <c r="A444" s="82"/>
      <c r="B444" s="82"/>
      <c r="C444" s="83"/>
      <c r="D444" s="82"/>
      <c r="E444" s="82"/>
      <c r="F444" s="82"/>
      <c r="G444" s="82"/>
      <c r="H444" s="82"/>
      <c r="I444" s="82"/>
      <c r="J444" s="82"/>
      <c r="K444" s="82"/>
      <c r="L444" s="82"/>
      <c r="M444" s="82"/>
    </row>
    <row r="445">
      <c r="A445" s="82"/>
      <c r="B445" s="82"/>
      <c r="C445" s="83"/>
      <c r="D445" s="82"/>
      <c r="E445" s="82"/>
      <c r="F445" s="82"/>
      <c r="G445" s="82"/>
      <c r="H445" s="82"/>
      <c r="I445" s="82"/>
      <c r="J445" s="82"/>
      <c r="K445" s="82"/>
      <c r="L445" s="82"/>
      <c r="M445" s="82"/>
    </row>
    <row r="446">
      <c r="A446" s="82"/>
      <c r="B446" s="82"/>
      <c r="C446" s="83"/>
      <c r="D446" s="82"/>
      <c r="E446" s="82"/>
      <c r="F446" s="82"/>
      <c r="G446" s="82"/>
      <c r="H446" s="82"/>
      <c r="I446" s="82"/>
      <c r="J446" s="82"/>
      <c r="K446" s="82"/>
      <c r="L446" s="82"/>
      <c r="M446" s="82"/>
    </row>
    <row r="447">
      <c r="A447" s="82"/>
      <c r="B447" s="82"/>
      <c r="C447" s="83"/>
      <c r="D447" s="82"/>
      <c r="E447" s="82"/>
      <c r="F447" s="82"/>
      <c r="G447" s="82"/>
      <c r="H447" s="82"/>
      <c r="I447" s="82"/>
      <c r="J447" s="82"/>
      <c r="K447" s="82"/>
      <c r="L447" s="82"/>
      <c r="M447" s="82"/>
    </row>
    <row r="448">
      <c r="A448" s="82"/>
      <c r="B448" s="82"/>
      <c r="C448" s="83"/>
      <c r="D448" s="82"/>
      <c r="E448" s="82"/>
      <c r="F448" s="82"/>
      <c r="G448" s="82"/>
      <c r="H448" s="82"/>
      <c r="I448" s="82"/>
      <c r="J448" s="82"/>
      <c r="K448" s="82"/>
      <c r="L448" s="82"/>
      <c r="M448" s="82"/>
    </row>
    <row r="449">
      <c r="A449" s="82"/>
      <c r="B449" s="82"/>
      <c r="C449" s="83"/>
      <c r="D449" s="82"/>
      <c r="E449" s="82"/>
      <c r="F449" s="82"/>
      <c r="G449" s="82"/>
      <c r="H449" s="82"/>
      <c r="I449" s="82"/>
      <c r="J449" s="82"/>
      <c r="K449" s="82"/>
      <c r="L449" s="82"/>
      <c r="M449" s="82"/>
    </row>
    <row r="450">
      <c r="A450" s="82"/>
      <c r="B450" s="82"/>
      <c r="C450" s="83"/>
      <c r="D450" s="82"/>
      <c r="E450" s="82"/>
      <c r="F450" s="82"/>
      <c r="G450" s="82"/>
      <c r="H450" s="82"/>
      <c r="I450" s="82"/>
      <c r="J450" s="82"/>
      <c r="K450" s="82"/>
      <c r="L450" s="82"/>
      <c r="M450" s="82"/>
    </row>
    <row r="451">
      <c r="A451" s="82"/>
      <c r="B451" s="82"/>
      <c r="C451" s="83"/>
      <c r="D451" s="82"/>
      <c r="E451" s="82"/>
      <c r="F451" s="82"/>
      <c r="G451" s="82"/>
      <c r="H451" s="82"/>
      <c r="I451" s="82"/>
      <c r="J451" s="82"/>
      <c r="K451" s="82"/>
      <c r="L451" s="82"/>
      <c r="M451" s="82"/>
    </row>
    <row r="452">
      <c r="A452" s="82"/>
      <c r="B452" s="82"/>
      <c r="C452" s="83"/>
      <c r="D452" s="82"/>
      <c r="E452" s="82"/>
      <c r="F452" s="82"/>
      <c r="G452" s="82"/>
      <c r="H452" s="82"/>
      <c r="I452" s="82"/>
      <c r="J452" s="82"/>
      <c r="K452" s="82"/>
      <c r="L452" s="82"/>
      <c r="M452" s="82"/>
    </row>
    <row r="453">
      <c r="A453" s="82"/>
      <c r="B453" s="82"/>
      <c r="C453" s="83"/>
      <c r="D453" s="82"/>
      <c r="E453" s="82"/>
      <c r="F453" s="82"/>
      <c r="G453" s="82"/>
      <c r="H453" s="82"/>
      <c r="I453" s="82"/>
      <c r="J453" s="82"/>
      <c r="K453" s="82"/>
      <c r="L453" s="82"/>
      <c r="M453" s="82"/>
    </row>
    <row r="454">
      <c r="A454" s="82"/>
      <c r="B454" s="82"/>
      <c r="C454" s="83"/>
      <c r="D454" s="82"/>
      <c r="E454" s="82"/>
      <c r="F454" s="82"/>
      <c r="G454" s="82"/>
      <c r="H454" s="82"/>
      <c r="I454" s="82"/>
      <c r="J454" s="82"/>
      <c r="K454" s="82"/>
      <c r="L454" s="82"/>
      <c r="M454" s="82"/>
    </row>
    <row r="455">
      <c r="A455" s="82"/>
      <c r="B455" s="82"/>
      <c r="C455" s="83"/>
      <c r="D455" s="82"/>
      <c r="E455" s="82"/>
      <c r="F455" s="82"/>
      <c r="G455" s="82"/>
      <c r="H455" s="82"/>
      <c r="I455" s="82"/>
      <c r="J455" s="82"/>
      <c r="K455" s="82"/>
      <c r="L455" s="82"/>
      <c r="M455" s="82"/>
    </row>
    <row r="456">
      <c r="A456" s="82"/>
      <c r="B456" s="82"/>
      <c r="C456" s="83"/>
      <c r="D456" s="82"/>
      <c r="E456" s="82"/>
      <c r="F456" s="82"/>
      <c r="G456" s="82"/>
      <c r="H456" s="82"/>
      <c r="I456" s="82"/>
      <c r="J456" s="82"/>
      <c r="K456" s="82"/>
      <c r="L456" s="82"/>
      <c r="M456" s="82"/>
    </row>
    <row r="457">
      <c r="A457" s="82"/>
      <c r="B457" s="82"/>
      <c r="C457" s="83"/>
      <c r="D457" s="82"/>
      <c r="E457" s="82"/>
      <c r="F457" s="82"/>
      <c r="G457" s="82"/>
      <c r="H457" s="82"/>
      <c r="I457" s="82"/>
      <c r="J457" s="82"/>
      <c r="K457" s="82"/>
      <c r="L457" s="82"/>
      <c r="M457" s="82"/>
    </row>
    <row r="458">
      <c r="A458" s="82"/>
      <c r="B458" s="82"/>
      <c r="C458" s="83"/>
      <c r="D458" s="82"/>
      <c r="E458" s="82"/>
      <c r="F458" s="82"/>
      <c r="G458" s="82"/>
      <c r="H458" s="82"/>
      <c r="I458" s="82"/>
      <c r="J458" s="82"/>
      <c r="K458" s="82"/>
      <c r="L458" s="82"/>
      <c r="M458" s="82"/>
    </row>
    <row r="459">
      <c r="A459" s="82"/>
      <c r="B459" s="82"/>
      <c r="C459" s="83"/>
      <c r="D459" s="82"/>
      <c r="E459" s="82"/>
      <c r="F459" s="82"/>
      <c r="G459" s="82"/>
      <c r="H459" s="82"/>
      <c r="I459" s="82"/>
      <c r="J459" s="82"/>
      <c r="K459" s="82"/>
      <c r="L459" s="82"/>
      <c r="M459" s="82"/>
    </row>
    <row r="460">
      <c r="A460" s="82"/>
      <c r="B460" s="82"/>
      <c r="C460" s="83"/>
      <c r="D460" s="82"/>
      <c r="E460" s="82"/>
      <c r="F460" s="82"/>
      <c r="G460" s="82"/>
      <c r="H460" s="82"/>
      <c r="I460" s="82"/>
      <c r="J460" s="82"/>
      <c r="K460" s="82"/>
      <c r="L460" s="82"/>
      <c r="M460" s="82"/>
    </row>
    <row r="461">
      <c r="A461" s="82"/>
      <c r="B461" s="82"/>
      <c r="C461" s="83"/>
      <c r="D461" s="82"/>
      <c r="E461" s="82"/>
      <c r="F461" s="82"/>
      <c r="G461" s="82"/>
      <c r="H461" s="82"/>
      <c r="I461" s="82"/>
      <c r="J461" s="82"/>
      <c r="K461" s="82"/>
      <c r="L461" s="82"/>
      <c r="M461" s="82"/>
    </row>
    <row r="462">
      <c r="A462" s="82"/>
      <c r="B462" s="82"/>
      <c r="C462" s="83"/>
      <c r="D462" s="82"/>
      <c r="E462" s="82"/>
      <c r="F462" s="82"/>
      <c r="G462" s="82"/>
      <c r="H462" s="82"/>
      <c r="I462" s="82"/>
      <c r="J462" s="82"/>
      <c r="K462" s="82"/>
      <c r="L462" s="82"/>
      <c r="M462" s="82"/>
    </row>
    <row r="463">
      <c r="A463" s="82"/>
      <c r="B463" s="82"/>
      <c r="C463" s="83"/>
      <c r="D463" s="82"/>
      <c r="E463" s="82"/>
      <c r="F463" s="82"/>
      <c r="G463" s="82"/>
      <c r="H463" s="82"/>
      <c r="I463" s="82"/>
      <c r="J463" s="82"/>
      <c r="K463" s="82"/>
      <c r="L463" s="82"/>
      <c r="M463" s="82"/>
    </row>
    <row r="464">
      <c r="A464" s="82"/>
      <c r="B464" s="82"/>
      <c r="C464" s="83"/>
      <c r="D464" s="82"/>
      <c r="E464" s="82"/>
      <c r="F464" s="82"/>
      <c r="G464" s="82"/>
      <c r="H464" s="82"/>
      <c r="I464" s="82"/>
      <c r="J464" s="82"/>
      <c r="K464" s="82"/>
      <c r="L464" s="82"/>
      <c r="M464" s="82"/>
    </row>
    <row r="465">
      <c r="A465" s="82"/>
      <c r="B465" s="82"/>
      <c r="C465" s="83"/>
      <c r="D465" s="82"/>
      <c r="E465" s="82"/>
      <c r="F465" s="82"/>
      <c r="G465" s="82"/>
      <c r="H465" s="82"/>
      <c r="I465" s="82"/>
      <c r="J465" s="82"/>
      <c r="K465" s="82"/>
      <c r="L465" s="82"/>
      <c r="M465" s="82"/>
    </row>
    <row r="466">
      <c r="A466" s="82"/>
      <c r="B466" s="82"/>
      <c r="C466" s="83"/>
      <c r="D466" s="82"/>
      <c r="E466" s="82"/>
      <c r="F466" s="82"/>
      <c r="G466" s="82"/>
      <c r="H466" s="82"/>
      <c r="I466" s="82"/>
      <c r="J466" s="82"/>
      <c r="K466" s="82"/>
      <c r="L466" s="82"/>
      <c r="M466" s="82"/>
    </row>
    <row r="467">
      <c r="A467" s="82"/>
      <c r="B467" s="82"/>
      <c r="C467" s="83"/>
      <c r="D467" s="82"/>
      <c r="E467" s="82"/>
      <c r="F467" s="82"/>
      <c r="G467" s="82"/>
      <c r="H467" s="82"/>
      <c r="I467" s="82"/>
      <c r="J467" s="82"/>
      <c r="K467" s="82"/>
      <c r="L467" s="82"/>
      <c r="M467" s="82"/>
    </row>
    <row r="468">
      <c r="A468" s="82"/>
      <c r="B468" s="82"/>
      <c r="C468" s="83"/>
      <c r="D468" s="82"/>
      <c r="E468" s="82"/>
      <c r="F468" s="82"/>
      <c r="G468" s="82"/>
      <c r="H468" s="82"/>
      <c r="I468" s="82"/>
      <c r="J468" s="82"/>
      <c r="K468" s="82"/>
      <c r="L468" s="82"/>
      <c r="M468" s="82"/>
    </row>
    <row r="469">
      <c r="A469" s="82"/>
      <c r="B469" s="82"/>
      <c r="C469" s="83"/>
      <c r="D469" s="82"/>
      <c r="E469" s="82"/>
      <c r="F469" s="82"/>
      <c r="G469" s="82"/>
      <c r="H469" s="82"/>
      <c r="I469" s="82"/>
      <c r="J469" s="82"/>
      <c r="K469" s="82"/>
      <c r="L469" s="82"/>
      <c r="M469" s="82"/>
    </row>
    <row r="470">
      <c r="A470" s="82"/>
      <c r="B470" s="82"/>
      <c r="C470" s="83"/>
      <c r="D470" s="82"/>
      <c r="E470" s="82"/>
      <c r="F470" s="82"/>
      <c r="G470" s="82"/>
      <c r="H470" s="82"/>
      <c r="I470" s="82"/>
      <c r="J470" s="82"/>
      <c r="K470" s="82"/>
      <c r="L470" s="82"/>
      <c r="M470" s="82"/>
    </row>
    <row r="471">
      <c r="A471" s="82"/>
      <c r="B471" s="82"/>
      <c r="C471" s="83"/>
      <c r="D471" s="82"/>
      <c r="E471" s="82"/>
      <c r="F471" s="82"/>
      <c r="G471" s="82"/>
      <c r="H471" s="82"/>
      <c r="I471" s="82"/>
      <c r="J471" s="82"/>
      <c r="K471" s="82"/>
      <c r="L471" s="82"/>
      <c r="M471" s="82"/>
    </row>
    <row r="472">
      <c r="A472" s="82"/>
      <c r="B472" s="82"/>
      <c r="C472" s="83"/>
      <c r="D472" s="82"/>
      <c r="E472" s="82"/>
      <c r="F472" s="82"/>
      <c r="G472" s="82"/>
      <c r="H472" s="82"/>
      <c r="I472" s="82"/>
      <c r="J472" s="82"/>
      <c r="K472" s="82"/>
      <c r="L472" s="82"/>
      <c r="M472" s="82"/>
    </row>
    <row r="473">
      <c r="A473" s="82"/>
      <c r="B473" s="82"/>
      <c r="C473" s="83"/>
      <c r="D473" s="82"/>
      <c r="E473" s="82"/>
      <c r="F473" s="82"/>
      <c r="G473" s="82"/>
      <c r="H473" s="82"/>
      <c r="I473" s="82"/>
      <c r="J473" s="82"/>
      <c r="K473" s="82"/>
      <c r="L473" s="82"/>
      <c r="M473" s="82"/>
    </row>
    <row r="474">
      <c r="A474" s="82"/>
      <c r="B474" s="82"/>
      <c r="C474" s="83"/>
      <c r="D474" s="82"/>
      <c r="E474" s="82"/>
      <c r="F474" s="82"/>
      <c r="G474" s="82"/>
      <c r="H474" s="82"/>
      <c r="I474" s="82"/>
      <c r="J474" s="82"/>
      <c r="K474" s="82"/>
      <c r="L474" s="82"/>
      <c r="M474" s="82"/>
    </row>
    <row r="475">
      <c r="A475" s="82"/>
      <c r="B475" s="82"/>
      <c r="C475" s="83"/>
      <c r="D475" s="82"/>
      <c r="E475" s="82"/>
      <c r="F475" s="82"/>
      <c r="G475" s="82"/>
      <c r="H475" s="82"/>
      <c r="I475" s="82"/>
      <c r="J475" s="82"/>
      <c r="K475" s="82"/>
      <c r="L475" s="82"/>
      <c r="M475" s="82"/>
    </row>
    <row r="476">
      <c r="A476" s="82"/>
      <c r="B476" s="82"/>
      <c r="C476" s="83"/>
      <c r="D476" s="82"/>
      <c r="E476" s="82"/>
      <c r="F476" s="82"/>
      <c r="G476" s="82"/>
      <c r="H476" s="82"/>
      <c r="I476" s="82"/>
      <c r="J476" s="82"/>
      <c r="K476" s="82"/>
      <c r="L476" s="82"/>
      <c r="M476" s="82"/>
    </row>
    <row r="477">
      <c r="A477" s="82"/>
      <c r="B477" s="82"/>
      <c r="C477" s="83"/>
      <c r="D477" s="82"/>
      <c r="E477" s="82"/>
      <c r="F477" s="82"/>
      <c r="G477" s="82"/>
      <c r="H477" s="82"/>
      <c r="I477" s="82"/>
      <c r="J477" s="82"/>
      <c r="K477" s="82"/>
      <c r="L477" s="82"/>
      <c r="M477" s="82"/>
    </row>
    <row r="478">
      <c r="A478" s="82"/>
      <c r="B478" s="82"/>
      <c r="C478" s="83"/>
      <c r="D478" s="82"/>
      <c r="E478" s="82"/>
      <c r="F478" s="82"/>
      <c r="G478" s="82"/>
      <c r="H478" s="82"/>
      <c r="I478" s="82"/>
      <c r="J478" s="82"/>
      <c r="K478" s="82"/>
      <c r="L478" s="82"/>
      <c r="M478" s="82"/>
    </row>
    <row r="479">
      <c r="A479" s="82"/>
      <c r="B479" s="82"/>
      <c r="C479" s="83"/>
      <c r="D479" s="82"/>
      <c r="E479" s="82"/>
      <c r="F479" s="82"/>
      <c r="G479" s="82"/>
      <c r="H479" s="82"/>
      <c r="I479" s="82"/>
      <c r="J479" s="82"/>
      <c r="K479" s="82"/>
      <c r="L479" s="82"/>
      <c r="M479" s="82"/>
    </row>
    <row r="480">
      <c r="A480" s="82"/>
      <c r="B480" s="82"/>
      <c r="C480" s="83"/>
      <c r="D480" s="82"/>
      <c r="E480" s="82"/>
      <c r="F480" s="82"/>
      <c r="G480" s="82"/>
      <c r="H480" s="82"/>
      <c r="I480" s="82"/>
      <c r="J480" s="82"/>
      <c r="K480" s="82"/>
      <c r="L480" s="82"/>
      <c r="M480" s="82"/>
    </row>
    <row r="481">
      <c r="A481" s="82"/>
      <c r="B481" s="82"/>
      <c r="C481" s="83"/>
      <c r="D481" s="82"/>
      <c r="E481" s="82"/>
      <c r="F481" s="82"/>
      <c r="G481" s="82"/>
      <c r="H481" s="82"/>
      <c r="I481" s="82"/>
      <c r="J481" s="82"/>
      <c r="K481" s="82"/>
      <c r="L481" s="82"/>
      <c r="M481" s="82"/>
    </row>
    <row r="482">
      <c r="A482" s="82"/>
      <c r="B482" s="82"/>
      <c r="C482" s="83"/>
      <c r="D482" s="82"/>
      <c r="E482" s="82"/>
      <c r="F482" s="82"/>
      <c r="G482" s="82"/>
      <c r="H482" s="82"/>
      <c r="I482" s="82"/>
      <c r="J482" s="82"/>
      <c r="K482" s="82"/>
      <c r="L482" s="82"/>
      <c r="M482" s="82"/>
    </row>
    <row r="483">
      <c r="A483" s="82"/>
      <c r="B483" s="82"/>
      <c r="C483" s="83"/>
      <c r="D483" s="82"/>
      <c r="E483" s="82"/>
      <c r="F483" s="82"/>
      <c r="G483" s="82"/>
      <c r="H483" s="82"/>
      <c r="I483" s="82"/>
      <c r="J483" s="82"/>
      <c r="K483" s="82"/>
      <c r="L483" s="82"/>
      <c r="M483" s="82"/>
    </row>
    <row r="484">
      <c r="A484" s="82"/>
      <c r="B484" s="82"/>
      <c r="C484" s="83"/>
      <c r="D484" s="82"/>
      <c r="E484" s="82"/>
      <c r="F484" s="82"/>
      <c r="G484" s="82"/>
      <c r="H484" s="82"/>
      <c r="I484" s="82"/>
      <c r="J484" s="82"/>
      <c r="K484" s="82"/>
      <c r="L484" s="82"/>
      <c r="M484" s="82"/>
    </row>
    <row r="485">
      <c r="A485" s="82"/>
      <c r="B485" s="82"/>
      <c r="C485" s="83"/>
      <c r="D485" s="82"/>
      <c r="E485" s="82"/>
      <c r="F485" s="82"/>
      <c r="G485" s="82"/>
      <c r="H485" s="82"/>
      <c r="I485" s="82"/>
      <c r="J485" s="82"/>
      <c r="K485" s="82"/>
      <c r="L485" s="82"/>
      <c r="M485" s="82"/>
    </row>
    <row r="486">
      <c r="A486" s="82"/>
      <c r="B486" s="82"/>
      <c r="C486" s="83"/>
      <c r="D486" s="82"/>
      <c r="E486" s="82"/>
      <c r="F486" s="82"/>
      <c r="G486" s="82"/>
      <c r="H486" s="82"/>
      <c r="I486" s="82"/>
      <c r="J486" s="82"/>
      <c r="K486" s="82"/>
      <c r="L486" s="82"/>
      <c r="M486" s="82"/>
    </row>
    <row r="487">
      <c r="A487" s="82"/>
      <c r="B487" s="82"/>
      <c r="C487" s="83"/>
      <c r="D487" s="82"/>
      <c r="E487" s="82"/>
      <c r="F487" s="82"/>
      <c r="G487" s="82"/>
      <c r="H487" s="82"/>
      <c r="I487" s="82"/>
      <c r="J487" s="82"/>
      <c r="K487" s="82"/>
      <c r="L487" s="82"/>
      <c r="M487" s="82"/>
    </row>
    <row r="488">
      <c r="A488" s="82"/>
      <c r="B488" s="82"/>
      <c r="C488" s="83"/>
      <c r="D488" s="82"/>
      <c r="E488" s="82"/>
      <c r="F488" s="82"/>
      <c r="G488" s="82"/>
      <c r="H488" s="82"/>
      <c r="I488" s="82"/>
      <c r="J488" s="82"/>
      <c r="K488" s="82"/>
      <c r="L488" s="82"/>
      <c r="M488" s="82"/>
    </row>
    <row r="489">
      <c r="A489" s="82"/>
      <c r="B489" s="82"/>
      <c r="C489" s="83"/>
      <c r="D489" s="82"/>
      <c r="E489" s="82"/>
      <c r="F489" s="82"/>
      <c r="G489" s="82"/>
      <c r="H489" s="82"/>
      <c r="I489" s="82"/>
      <c r="J489" s="82"/>
      <c r="K489" s="82"/>
      <c r="L489" s="82"/>
      <c r="M489" s="82"/>
    </row>
    <row r="490">
      <c r="A490" s="82"/>
      <c r="B490" s="82"/>
      <c r="C490" s="83"/>
      <c r="D490" s="82"/>
      <c r="E490" s="82"/>
      <c r="F490" s="82"/>
      <c r="G490" s="82"/>
      <c r="H490" s="82"/>
      <c r="I490" s="82"/>
      <c r="J490" s="82"/>
      <c r="K490" s="82"/>
      <c r="L490" s="82"/>
      <c r="M490" s="82"/>
    </row>
    <row r="491">
      <c r="A491" s="82"/>
      <c r="B491" s="82"/>
      <c r="C491" s="83"/>
      <c r="D491" s="82"/>
      <c r="E491" s="82"/>
      <c r="F491" s="82"/>
      <c r="G491" s="82"/>
      <c r="H491" s="82"/>
      <c r="I491" s="82"/>
      <c r="J491" s="82"/>
      <c r="K491" s="82"/>
      <c r="L491" s="82"/>
      <c r="M491" s="82"/>
    </row>
    <row r="492">
      <c r="A492" s="82"/>
      <c r="B492" s="82"/>
      <c r="C492" s="83"/>
      <c r="D492" s="82"/>
      <c r="E492" s="82"/>
      <c r="F492" s="82"/>
      <c r="G492" s="82"/>
      <c r="H492" s="82"/>
      <c r="I492" s="82"/>
      <c r="J492" s="82"/>
      <c r="K492" s="82"/>
      <c r="L492" s="82"/>
      <c r="M492" s="82"/>
    </row>
    <row r="493">
      <c r="A493" s="82"/>
      <c r="B493" s="82"/>
      <c r="C493" s="83"/>
      <c r="D493" s="82"/>
      <c r="E493" s="82"/>
      <c r="F493" s="82"/>
      <c r="G493" s="82"/>
      <c r="H493" s="82"/>
      <c r="I493" s="82"/>
      <c r="J493" s="82"/>
      <c r="K493" s="82"/>
      <c r="L493" s="82"/>
      <c r="M493" s="82"/>
    </row>
    <row r="494">
      <c r="A494" s="82"/>
      <c r="B494" s="82"/>
      <c r="C494" s="83"/>
      <c r="D494" s="82"/>
      <c r="E494" s="82"/>
      <c r="F494" s="82"/>
      <c r="G494" s="82"/>
      <c r="H494" s="82"/>
      <c r="I494" s="82"/>
      <c r="J494" s="82"/>
      <c r="K494" s="82"/>
      <c r="L494" s="82"/>
      <c r="M494" s="82"/>
    </row>
    <row r="495">
      <c r="A495" s="82"/>
      <c r="B495" s="82"/>
      <c r="C495" s="83"/>
      <c r="D495" s="82"/>
      <c r="E495" s="82"/>
      <c r="F495" s="82"/>
      <c r="G495" s="82"/>
      <c r="H495" s="82"/>
      <c r="I495" s="82"/>
      <c r="J495" s="82"/>
      <c r="K495" s="82"/>
      <c r="L495" s="82"/>
      <c r="M495" s="82"/>
    </row>
    <row r="496">
      <c r="A496" s="82"/>
      <c r="B496" s="82"/>
      <c r="C496" s="83"/>
      <c r="D496" s="82"/>
      <c r="E496" s="82"/>
      <c r="F496" s="82"/>
      <c r="G496" s="82"/>
      <c r="H496" s="82"/>
      <c r="I496" s="82"/>
      <c r="J496" s="82"/>
      <c r="K496" s="82"/>
      <c r="L496" s="82"/>
      <c r="M496" s="82"/>
    </row>
    <row r="497">
      <c r="A497" s="82"/>
      <c r="B497" s="82"/>
      <c r="C497" s="83"/>
      <c r="D497" s="82"/>
      <c r="E497" s="82"/>
      <c r="F497" s="82"/>
      <c r="G497" s="82"/>
      <c r="H497" s="82"/>
      <c r="I497" s="82"/>
      <c r="J497" s="82"/>
      <c r="K497" s="82"/>
      <c r="L497" s="82"/>
      <c r="M497" s="82"/>
    </row>
    <row r="498">
      <c r="A498" s="82"/>
      <c r="B498" s="82"/>
      <c r="C498" s="83"/>
      <c r="D498" s="82"/>
      <c r="E498" s="82"/>
      <c r="F498" s="82"/>
      <c r="G498" s="82"/>
      <c r="H498" s="82"/>
      <c r="I498" s="82"/>
      <c r="J498" s="82"/>
      <c r="K498" s="82"/>
      <c r="L498" s="82"/>
      <c r="M498" s="82"/>
    </row>
    <row r="499">
      <c r="A499" s="82"/>
      <c r="B499" s="82"/>
      <c r="C499" s="83"/>
      <c r="D499" s="82"/>
      <c r="E499" s="82"/>
      <c r="F499" s="82"/>
      <c r="G499" s="82"/>
      <c r="H499" s="82"/>
      <c r="I499" s="82"/>
      <c r="J499" s="82"/>
      <c r="K499" s="82"/>
      <c r="L499" s="82"/>
      <c r="M499" s="82"/>
    </row>
    <row r="500">
      <c r="A500" s="82"/>
      <c r="B500" s="82"/>
      <c r="C500" s="83"/>
      <c r="D500" s="82"/>
      <c r="E500" s="82"/>
      <c r="F500" s="82"/>
      <c r="G500" s="82"/>
      <c r="H500" s="82"/>
      <c r="I500" s="82"/>
      <c r="J500" s="82"/>
      <c r="K500" s="82"/>
      <c r="L500" s="82"/>
      <c r="M500" s="82"/>
    </row>
    <row r="501">
      <c r="A501" s="82"/>
      <c r="B501" s="82"/>
      <c r="C501" s="83"/>
      <c r="D501" s="82"/>
      <c r="E501" s="82"/>
      <c r="F501" s="82"/>
      <c r="G501" s="82"/>
      <c r="H501" s="82"/>
      <c r="I501" s="82"/>
      <c r="J501" s="82"/>
      <c r="K501" s="82"/>
      <c r="L501" s="82"/>
      <c r="M501" s="82"/>
    </row>
    <row r="502">
      <c r="A502" s="82"/>
      <c r="B502" s="82"/>
      <c r="C502" s="83"/>
      <c r="D502" s="82"/>
      <c r="E502" s="82"/>
      <c r="F502" s="82"/>
      <c r="G502" s="82"/>
      <c r="H502" s="82"/>
      <c r="I502" s="82"/>
      <c r="J502" s="82"/>
      <c r="K502" s="82"/>
      <c r="L502" s="82"/>
      <c r="M502" s="82"/>
    </row>
    <row r="503">
      <c r="A503" s="82"/>
      <c r="B503" s="82"/>
      <c r="C503" s="83"/>
      <c r="D503" s="82"/>
      <c r="E503" s="82"/>
      <c r="F503" s="82"/>
      <c r="G503" s="82"/>
      <c r="H503" s="82"/>
      <c r="I503" s="82"/>
      <c r="J503" s="82"/>
      <c r="K503" s="82"/>
      <c r="L503" s="82"/>
      <c r="M503" s="82"/>
    </row>
    <row r="504">
      <c r="A504" s="82"/>
      <c r="B504" s="82"/>
      <c r="C504" s="83"/>
      <c r="D504" s="82"/>
      <c r="E504" s="82"/>
      <c r="F504" s="82"/>
      <c r="G504" s="82"/>
      <c r="H504" s="82"/>
      <c r="I504" s="82"/>
      <c r="J504" s="82"/>
      <c r="K504" s="82"/>
      <c r="L504" s="82"/>
      <c r="M504" s="82"/>
    </row>
    <row r="505">
      <c r="A505" s="82"/>
      <c r="B505" s="82"/>
      <c r="C505" s="83"/>
      <c r="D505" s="82"/>
      <c r="E505" s="82"/>
      <c r="F505" s="82"/>
      <c r="G505" s="82"/>
      <c r="H505" s="82"/>
      <c r="I505" s="82"/>
      <c r="J505" s="82"/>
      <c r="K505" s="82"/>
      <c r="L505" s="82"/>
      <c r="M505" s="82"/>
    </row>
    <row r="506">
      <c r="A506" s="82"/>
      <c r="B506" s="82"/>
      <c r="C506" s="83"/>
      <c r="D506" s="82"/>
      <c r="E506" s="82"/>
      <c r="F506" s="82"/>
      <c r="G506" s="82"/>
      <c r="H506" s="82"/>
      <c r="I506" s="82"/>
      <c r="J506" s="82"/>
      <c r="K506" s="82"/>
      <c r="L506" s="82"/>
      <c r="M506" s="82"/>
    </row>
    <row r="507">
      <c r="A507" s="82"/>
      <c r="B507" s="82"/>
      <c r="C507" s="83"/>
      <c r="D507" s="82"/>
      <c r="E507" s="82"/>
      <c r="F507" s="82"/>
      <c r="G507" s="82"/>
      <c r="H507" s="82"/>
      <c r="I507" s="82"/>
      <c r="J507" s="82"/>
      <c r="K507" s="82"/>
      <c r="L507" s="82"/>
      <c r="M507" s="82"/>
    </row>
    <row r="508">
      <c r="A508" s="82"/>
      <c r="B508" s="82"/>
      <c r="C508" s="83"/>
      <c r="D508" s="82"/>
      <c r="E508" s="82"/>
      <c r="F508" s="82"/>
      <c r="G508" s="82"/>
      <c r="H508" s="82"/>
      <c r="I508" s="82"/>
      <c r="J508" s="82"/>
      <c r="K508" s="82"/>
      <c r="L508" s="82"/>
      <c r="M508" s="82"/>
    </row>
    <row r="509">
      <c r="A509" s="82"/>
      <c r="B509" s="82"/>
      <c r="C509" s="83"/>
      <c r="D509" s="82"/>
      <c r="E509" s="82"/>
      <c r="F509" s="82"/>
      <c r="G509" s="82"/>
      <c r="H509" s="82"/>
      <c r="I509" s="82"/>
      <c r="J509" s="82"/>
      <c r="K509" s="82"/>
      <c r="L509" s="82"/>
      <c r="M509" s="82"/>
    </row>
    <row r="510">
      <c r="A510" s="82"/>
      <c r="B510" s="82"/>
      <c r="C510" s="83"/>
      <c r="D510" s="82"/>
      <c r="E510" s="82"/>
      <c r="F510" s="82"/>
      <c r="G510" s="82"/>
      <c r="H510" s="82"/>
      <c r="I510" s="82"/>
      <c r="J510" s="82"/>
      <c r="K510" s="82"/>
      <c r="L510" s="82"/>
      <c r="M510" s="82"/>
    </row>
    <row r="511">
      <c r="A511" s="82"/>
      <c r="B511" s="82"/>
      <c r="C511" s="83"/>
      <c r="D511" s="82"/>
      <c r="E511" s="82"/>
      <c r="F511" s="82"/>
      <c r="G511" s="82"/>
      <c r="H511" s="82"/>
      <c r="I511" s="82"/>
      <c r="J511" s="82"/>
      <c r="K511" s="82"/>
      <c r="L511" s="82"/>
      <c r="M511" s="82"/>
    </row>
    <row r="512">
      <c r="A512" s="82"/>
      <c r="B512" s="82"/>
      <c r="C512" s="83"/>
      <c r="D512" s="82"/>
      <c r="E512" s="82"/>
      <c r="F512" s="82"/>
      <c r="G512" s="82"/>
      <c r="H512" s="82"/>
      <c r="I512" s="82"/>
      <c r="J512" s="82"/>
      <c r="K512" s="82"/>
      <c r="L512" s="82"/>
      <c r="M512" s="82"/>
    </row>
    <row r="513">
      <c r="A513" s="82"/>
      <c r="B513" s="82"/>
      <c r="C513" s="83"/>
      <c r="D513" s="82"/>
      <c r="E513" s="82"/>
      <c r="F513" s="82"/>
      <c r="G513" s="82"/>
      <c r="H513" s="82"/>
      <c r="I513" s="82"/>
      <c r="J513" s="82"/>
      <c r="K513" s="82"/>
      <c r="L513" s="82"/>
      <c r="M513" s="82"/>
    </row>
    <row r="514">
      <c r="A514" s="82"/>
      <c r="B514" s="82"/>
      <c r="C514" s="83"/>
      <c r="D514" s="82"/>
      <c r="E514" s="82"/>
      <c r="F514" s="82"/>
      <c r="G514" s="82"/>
      <c r="H514" s="82"/>
      <c r="I514" s="82"/>
      <c r="J514" s="82"/>
      <c r="K514" s="82"/>
      <c r="L514" s="82"/>
      <c r="M514" s="82"/>
    </row>
    <row r="515">
      <c r="A515" s="82"/>
      <c r="B515" s="82"/>
      <c r="C515" s="83"/>
      <c r="D515" s="82"/>
      <c r="E515" s="82"/>
      <c r="F515" s="82"/>
      <c r="G515" s="82"/>
      <c r="H515" s="82"/>
      <c r="I515" s="82"/>
      <c r="J515" s="82"/>
      <c r="K515" s="82"/>
      <c r="L515" s="82"/>
      <c r="M515" s="82"/>
    </row>
    <row r="516">
      <c r="A516" s="82"/>
      <c r="B516" s="82"/>
      <c r="C516" s="83"/>
      <c r="D516" s="82"/>
      <c r="E516" s="82"/>
      <c r="F516" s="82"/>
      <c r="G516" s="82"/>
      <c r="H516" s="82"/>
      <c r="I516" s="82"/>
      <c r="J516" s="82"/>
      <c r="K516" s="82"/>
      <c r="L516" s="82"/>
      <c r="M516" s="82"/>
    </row>
    <row r="517">
      <c r="A517" s="82"/>
      <c r="B517" s="82"/>
      <c r="C517" s="83"/>
      <c r="D517" s="82"/>
      <c r="E517" s="82"/>
      <c r="F517" s="82"/>
      <c r="G517" s="82"/>
      <c r="H517" s="82"/>
      <c r="I517" s="82"/>
      <c r="J517" s="82"/>
      <c r="K517" s="82"/>
      <c r="L517" s="82"/>
      <c r="M517" s="82"/>
    </row>
    <row r="518">
      <c r="A518" s="82"/>
      <c r="B518" s="82"/>
      <c r="C518" s="83"/>
      <c r="D518" s="82"/>
      <c r="E518" s="82"/>
      <c r="F518" s="82"/>
      <c r="G518" s="82"/>
      <c r="H518" s="82"/>
      <c r="I518" s="82"/>
      <c r="J518" s="82"/>
      <c r="K518" s="82"/>
      <c r="L518" s="82"/>
      <c r="M518" s="82"/>
    </row>
    <row r="519">
      <c r="A519" s="82"/>
      <c r="B519" s="82"/>
      <c r="C519" s="83"/>
      <c r="D519" s="82"/>
      <c r="E519" s="82"/>
      <c r="F519" s="82"/>
      <c r="G519" s="82"/>
      <c r="H519" s="82"/>
      <c r="I519" s="82"/>
      <c r="J519" s="82"/>
      <c r="K519" s="82"/>
      <c r="L519" s="82"/>
      <c r="M519" s="82"/>
    </row>
    <row r="520">
      <c r="A520" s="82"/>
      <c r="B520" s="82"/>
      <c r="C520" s="83"/>
      <c r="D520" s="82"/>
      <c r="E520" s="82"/>
      <c r="F520" s="82"/>
      <c r="G520" s="82"/>
      <c r="H520" s="82"/>
      <c r="I520" s="82"/>
      <c r="J520" s="82"/>
      <c r="K520" s="82"/>
      <c r="L520" s="82"/>
      <c r="M520" s="82"/>
    </row>
    <row r="521">
      <c r="A521" s="82"/>
      <c r="B521" s="82"/>
      <c r="C521" s="83"/>
      <c r="D521" s="82"/>
      <c r="E521" s="82"/>
      <c r="F521" s="82"/>
      <c r="G521" s="82"/>
      <c r="H521" s="82"/>
      <c r="I521" s="82"/>
      <c r="J521" s="82"/>
      <c r="K521" s="82"/>
      <c r="L521" s="82"/>
      <c r="M521" s="82"/>
    </row>
    <row r="522">
      <c r="A522" s="82"/>
      <c r="B522" s="82"/>
      <c r="C522" s="83"/>
      <c r="D522" s="82"/>
      <c r="E522" s="82"/>
      <c r="F522" s="82"/>
      <c r="G522" s="82"/>
      <c r="H522" s="82"/>
      <c r="I522" s="82"/>
      <c r="J522" s="82"/>
      <c r="K522" s="82"/>
      <c r="L522" s="82"/>
      <c r="M522" s="82"/>
    </row>
    <row r="523">
      <c r="A523" s="82"/>
      <c r="B523" s="82"/>
      <c r="C523" s="83"/>
      <c r="D523" s="82"/>
      <c r="E523" s="82"/>
      <c r="F523" s="82"/>
      <c r="G523" s="82"/>
      <c r="H523" s="82"/>
      <c r="I523" s="82"/>
      <c r="J523" s="82"/>
      <c r="K523" s="82"/>
      <c r="L523" s="82"/>
      <c r="M523" s="82"/>
    </row>
    <row r="524">
      <c r="A524" s="82"/>
      <c r="B524" s="82"/>
      <c r="C524" s="83"/>
      <c r="D524" s="82"/>
      <c r="E524" s="82"/>
      <c r="F524" s="82"/>
      <c r="G524" s="82"/>
      <c r="H524" s="82"/>
      <c r="I524" s="82"/>
      <c r="J524" s="82"/>
      <c r="K524" s="82"/>
      <c r="L524" s="82"/>
      <c r="M524" s="82"/>
    </row>
    <row r="525">
      <c r="A525" s="82"/>
      <c r="B525" s="82"/>
      <c r="C525" s="83"/>
      <c r="D525" s="82"/>
      <c r="E525" s="82"/>
      <c r="F525" s="82"/>
      <c r="G525" s="82"/>
      <c r="H525" s="82"/>
      <c r="I525" s="82"/>
      <c r="J525" s="82"/>
      <c r="K525" s="82"/>
      <c r="L525" s="82"/>
      <c r="M525" s="82"/>
    </row>
    <row r="526">
      <c r="A526" s="82"/>
      <c r="B526" s="82"/>
      <c r="C526" s="83"/>
      <c r="D526" s="82"/>
      <c r="E526" s="82"/>
      <c r="F526" s="82"/>
      <c r="G526" s="82"/>
      <c r="H526" s="82"/>
      <c r="I526" s="82"/>
      <c r="J526" s="82"/>
      <c r="K526" s="82"/>
      <c r="L526" s="82"/>
      <c r="M526" s="82"/>
    </row>
    <row r="527">
      <c r="A527" s="82"/>
      <c r="B527" s="82"/>
      <c r="C527" s="83"/>
      <c r="D527" s="82"/>
      <c r="E527" s="82"/>
      <c r="F527" s="82"/>
      <c r="G527" s="82"/>
      <c r="H527" s="82"/>
      <c r="I527" s="82"/>
      <c r="J527" s="82"/>
      <c r="K527" s="82"/>
      <c r="L527" s="82"/>
      <c r="M527" s="82"/>
    </row>
    <row r="528">
      <c r="A528" s="82"/>
      <c r="B528" s="82"/>
      <c r="C528" s="83"/>
      <c r="D528" s="82"/>
      <c r="E528" s="82"/>
      <c r="F528" s="82"/>
      <c r="G528" s="82"/>
      <c r="H528" s="82"/>
      <c r="I528" s="82"/>
      <c r="J528" s="82"/>
      <c r="K528" s="82"/>
      <c r="L528" s="82"/>
      <c r="M528" s="82"/>
    </row>
    <row r="529">
      <c r="A529" s="82"/>
      <c r="B529" s="82"/>
      <c r="C529" s="83"/>
      <c r="D529" s="82"/>
      <c r="E529" s="82"/>
      <c r="F529" s="82"/>
      <c r="G529" s="82"/>
      <c r="H529" s="82"/>
      <c r="I529" s="82"/>
      <c r="J529" s="82"/>
      <c r="K529" s="82"/>
      <c r="L529" s="82"/>
      <c r="M529" s="82"/>
    </row>
    <row r="530">
      <c r="A530" s="82"/>
      <c r="B530" s="82"/>
      <c r="C530" s="83"/>
      <c r="D530" s="82"/>
      <c r="E530" s="82"/>
      <c r="F530" s="82"/>
      <c r="G530" s="82"/>
      <c r="H530" s="82"/>
      <c r="I530" s="82"/>
      <c r="J530" s="82"/>
      <c r="K530" s="82"/>
      <c r="L530" s="82"/>
      <c r="M530" s="82"/>
    </row>
    <row r="531">
      <c r="A531" s="82"/>
      <c r="B531" s="82"/>
      <c r="C531" s="83"/>
      <c r="D531" s="82"/>
      <c r="E531" s="82"/>
      <c r="F531" s="82"/>
      <c r="G531" s="82"/>
      <c r="H531" s="82"/>
      <c r="I531" s="82"/>
      <c r="J531" s="82"/>
      <c r="K531" s="82"/>
      <c r="L531" s="82"/>
      <c r="M531" s="82"/>
    </row>
    <row r="532">
      <c r="A532" s="82"/>
      <c r="B532" s="82"/>
      <c r="C532" s="83"/>
      <c r="D532" s="82"/>
      <c r="E532" s="82"/>
      <c r="F532" s="82"/>
      <c r="G532" s="82"/>
      <c r="H532" s="82"/>
      <c r="I532" s="82"/>
      <c r="J532" s="82"/>
      <c r="K532" s="82"/>
      <c r="L532" s="82"/>
      <c r="M532" s="82"/>
    </row>
    <row r="533">
      <c r="A533" s="82"/>
      <c r="B533" s="82"/>
      <c r="C533" s="83"/>
      <c r="D533" s="82"/>
      <c r="E533" s="82"/>
      <c r="F533" s="82"/>
      <c r="G533" s="82"/>
      <c r="H533" s="82"/>
      <c r="I533" s="82"/>
      <c r="J533" s="82"/>
      <c r="K533" s="82"/>
      <c r="L533" s="82"/>
      <c r="M533" s="82"/>
    </row>
    <row r="534">
      <c r="A534" s="82"/>
      <c r="B534" s="82"/>
      <c r="C534" s="83"/>
      <c r="D534" s="82"/>
      <c r="E534" s="82"/>
      <c r="F534" s="82"/>
      <c r="G534" s="82"/>
      <c r="H534" s="82"/>
      <c r="I534" s="82"/>
      <c r="J534" s="82"/>
      <c r="K534" s="82"/>
      <c r="L534" s="82"/>
      <c r="M534" s="82"/>
    </row>
    <row r="535">
      <c r="A535" s="82"/>
      <c r="B535" s="82"/>
      <c r="C535" s="83"/>
      <c r="D535" s="82"/>
      <c r="E535" s="82"/>
      <c r="F535" s="82"/>
      <c r="G535" s="82"/>
      <c r="H535" s="82"/>
      <c r="I535" s="82"/>
      <c r="J535" s="82"/>
      <c r="K535" s="82"/>
      <c r="L535" s="82"/>
      <c r="M535" s="82"/>
    </row>
    <row r="536">
      <c r="A536" s="82"/>
      <c r="B536" s="82"/>
      <c r="C536" s="83"/>
      <c r="D536" s="82"/>
      <c r="E536" s="82"/>
      <c r="F536" s="82"/>
      <c r="G536" s="82"/>
      <c r="H536" s="82"/>
      <c r="I536" s="82"/>
      <c r="J536" s="82"/>
      <c r="K536" s="82"/>
      <c r="L536" s="82"/>
      <c r="M536" s="82"/>
    </row>
    <row r="537">
      <c r="A537" s="82"/>
      <c r="B537" s="82"/>
      <c r="C537" s="83"/>
      <c r="D537" s="82"/>
      <c r="E537" s="82"/>
      <c r="F537" s="82"/>
      <c r="G537" s="82"/>
      <c r="H537" s="82"/>
      <c r="I537" s="82"/>
      <c r="J537" s="82"/>
      <c r="K537" s="82"/>
      <c r="L537" s="82"/>
      <c r="M537" s="82"/>
    </row>
    <row r="538">
      <c r="A538" s="82"/>
      <c r="B538" s="82"/>
      <c r="C538" s="83"/>
      <c r="D538" s="82"/>
      <c r="E538" s="82"/>
      <c r="F538" s="82"/>
      <c r="G538" s="82"/>
      <c r="H538" s="82"/>
      <c r="I538" s="82"/>
      <c r="J538" s="82"/>
      <c r="K538" s="82"/>
      <c r="L538" s="82"/>
      <c r="M538" s="82"/>
    </row>
    <row r="539">
      <c r="A539" s="82"/>
      <c r="B539" s="82"/>
      <c r="C539" s="83"/>
      <c r="D539" s="82"/>
      <c r="E539" s="82"/>
      <c r="F539" s="82"/>
      <c r="G539" s="82"/>
      <c r="H539" s="82"/>
      <c r="I539" s="82"/>
      <c r="J539" s="82"/>
      <c r="K539" s="82"/>
      <c r="L539" s="82"/>
      <c r="M539" s="82"/>
    </row>
    <row r="540">
      <c r="A540" s="82"/>
      <c r="B540" s="82"/>
      <c r="C540" s="83"/>
      <c r="D540" s="82"/>
      <c r="E540" s="82"/>
      <c r="F540" s="82"/>
      <c r="G540" s="82"/>
      <c r="H540" s="82"/>
      <c r="I540" s="82"/>
      <c r="J540" s="82"/>
      <c r="K540" s="82"/>
      <c r="L540" s="82"/>
      <c r="M540" s="82"/>
    </row>
    <row r="541">
      <c r="A541" s="82"/>
      <c r="B541" s="82"/>
      <c r="C541" s="83"/>
      <c r="D541" s="82"/>
      <c r="E541" s="82"/>
      <c r="F541" s="82"/>
      <c r="G541" s="82"/>
      <c r="H541" s="82"/>
      <c r="I541" s="82"/>
      <c r="J541" s="82"/>
      <c r="K541" s="82"/>
      <c r="L541" s="82"/>
      <c r="M541" s="82"/>
    </row>
    <row r="542">
      <c r="A542" s="82"/>
      <c r="B542" s="82"/>
      <c r="C542" s="83"/>
      <c r="D542" s="82"/>
      <c r="E542" s="82"/>
      <c r="F542" s="82"/>
      <c r="G542" s="82"/>
      <c r="H542" s="82"/>
      <c r="I542" s="82"/>
      <c r="J542" s="82"/>
      <c r="K542" s="82"/>
      <c r="L542" s="82"/>
      <c r="M542" s="82"/>
    </row>
    <row r="543">
      <c r="A543" s="82"/>
      <c r="B543" s="82"/>
      <c r="C543" s="83"/>
      <c r="D543" s="82"/>
      <c r="E543" s="82"/>
      <c r="F543" s="82"/>
      <c r="G543" s="82"/>
      <c r="H543" s="82"/>
      <c r="I543" s="82"/>
      <c r="J543" s="82"/>
      <c r="K543" s="82"/>
      <c r="L543" s="82"/>
      <c r="M543" s="82"/>
    </row>
    <row r="544">
      <c r="A544" s="82"/>
      <c r="B544" s="82"/>
      <c r="C544" s="83"/>
      <c r="D544" s="82"/>
      <c r="E544" s="82"/>
      <c r="F544" s="82"/>
      <c r="G544" s="82"/>
      <c r="H544" s="82"/>
      <c r="I544" s="82"/>
      <c r="J544" s="82"/>
      <c r="K544" s="82"/>
      <c r="L544" s="82"/>
      <c r="M544" s="82"/>
    </row>
    <row r="545">
      <c r="A545" s="82"/>
      <c r="B545" s="82"/>
      <c r="C545" s="83"/>
      <c r="D545" s="82"/>
      <c r="E545" s="82"/>
      <c r="F545" s="82"/>
      <c r="G545" s="82"/>
      <c r="H545" s="82"/>
      <c r="I545" s="82"/>
      <c r="J545" s="82"/>
      <c r="K545" s="82"/>
      <c r="L545" s="82"/>
      <c r="M545" s="82"/>
    </row>
    <row r="546">
      <c r="A546" s="82"/>
      <c r="B546" s="82"/>
      <c r="C546" s="83"/>
      <c r="D546" s="82"/>
      <c r="E546" s="82"/>
      <c r="F546" s="82"/>
      <c r="G546" s="82"/>
      <c r="H546" s="82"/>
      <c r="I546" s="82"/>
      <c r="J546" s="82"/>
      <c r="K546" s="82"/>
      <c r="L546" s="82"/>
      <c r="M546" s="82"/>
    </row>
    <row r="547">
      <c r="A547" s="82"/>
      <c r="B547" s="82"/>
      <c r="C547" s="83"/>
      <c r="D547" s="82"/>
      <c r="E547" s="82"/>
      <c r="F547" s="82"/>
      <c r="G547" s="82"/>
      <c r="H547" s="82"/>
      <c r="I547" s="82"/>
      <c r="J547" s="82"/>
      <c r="K547" s="82"/>
      <c r="L547" s="82"/>
      <c r="M547" s="82"/>
    </row>
    <row r="548">
      <c r="A548" s="82"/>
      <c r="B548" s="82"/>
      <c r="C548" s="83"/>
      <c r="D548" s="82"/>
      <c r="E548" s="82"/>
      <c r="F548" s="82"/>
      <c r="G548" s="82"/>
      <c r="H548" s="82"/>
      <c r="I548" s="82"/>
      <c r="J548" s="82"/>
      <c r="K548" s="82"/>
      <c r="L548" s="82"/>
      <c r="M548" s="82"/>
    </row>
    <row r="549">
      <c r="A549" s="82"/>
      <c r="B549" s="82"/>
      <c r="C549" s="83"/>
      <c r="D549" s="82"/>
      <c r="E549" s="82"/>
      <c r="F549" s="82"/>
      <c r="G549" s="82"/>
      <c r="H549" s="82"/>
      <c r="I549" s="82"/>
      <c r="J549" s="82"/>
      <c r="K549" s="82"/>
      <c r="L549" s="82"/>
      <c r="M549" s="82"/>
    </row>
    <row r="550">
      <c r="A550" s="82"/>
      <c r="B550" s="82"/>
      <c r="C550" s="83"/>
      <c r="D550" s="82"/>
      <c r="E550" s="82"/>
      <c r="F550" s="82"/>
      <c r="G550" s="82"/>
      <c r="H550" s="82"/>
      <c r="I550" s="82"/>
      <c r="J550" s="82"/>
      <c r="K550" s="82"/>
      <c r="L550" s="82"/>
      <c r="M550" s="82"/>
    </row>
    <row r="551">
      <c r="A551" s="82"/>
      <c r="B551" s="82"/>
      <c r="C551" s="83"/>
      <c r="D551" s="82"/>
      <c r="E551" s="82"/>
      <c r="F551" s="82"/>
      <c r="G551" s="82"/>
      <c r="H551" s="82"/>
      <c r="I551" s="82"/>
      <c r="J551" s="82"/>
      <c r="K551" s="82"/>
      <c r="L551" s="82"/>
      <c r="M551" s="82"/>
    </row>
    <row r="552">
      <c r="A552" s="82"/>
      <c r="B552" s="82"/>
      <c r="C552" s="83"/>
      <c r="D552" s="82"/>
      <c r="E552" s="82"/>
      <c r="F552" s="82"/>
      <c r="G552" s="82"/>
      <c r="H552" s="82"/>
      <c r="I552" s="82"/>
      <c r="J552" s="82"/>
      <c r="K552" s="82"/>
      <c r="L552" s="82"/>
      <c r="M552" s="82"/>
    </row>
    <row r="553">
      <c r="A553" s="82"/>
      <c r="B553" s="82"/>
      <c r="C553" s="83"/>
      <c r="D553" s="82"/>
      <c r="E553" s="82"/>
      <c r="F553" s="82"/>
      <c r="G553" s="82"/>
      <c r="H553" s="82"/>
      <c r="I553" s="82"/>
      <c r="J553" s="82"/>
      <c r="K553" s="82"/>
      <c r="L553" s="82"/>
      <c r="M553" s="82"/>
    </row>
    <row r="554">
      <c r="A554" s="82"/>
      <c r="B554" s="82"/>
      <c r="C554" s="83"/>
      <c r="D554" s="82"/>
      <c r="E554" s="82"/>
      <c r="F554" s="82"/>
      <c r="G554" s="82"/>
      <c r="H554" s="82"/>
      <c r="I554" s="82"/>
      <c r="J554" s="82"/>
      <c r="K554" s="82"/>
      <c r="L554" s="82"/>
      <c r="M554" s="82"/>
    </row>
  </sheetData>
  <autoFilter ref="$A$5:$M$352">
    <filterColumn colId="0">
      <filters>
        <filter val="M. Zurek"/>
        <filter val="Faybik"/>
        <filter val="Cantone"/>
        <filter val="Wayne"/>
        <filter val="Ryan"/>
        <filter val="Dugan"/>
        <filter val="Bill"/>
        <filter val="Foley"/>
        <filter val="Jared"/>
        <filter val="A. Zurek"/>
        <filter val="Abad"/>
        <filter val="Jason"/>
      </filters>
    </filterColumn>
    <sortState ref="A5:M352">
      <sortCondition ref="A5:A352"/>
      <sortCondition ref="B5:B352"/>
      <sortCondition descending="1" ref="E5:E352"/>
    </sortState>
  </autoFilter>
  <mergeCells count="1">
    <mergeCell ref="A2:I2"/>
  </mergeCells>
  <conditionalFormatting sqref="A1:A554">
    <cfRule type="cellIs" dxfId="1" priority="1" operator="equal">
      <formula>"Abad"</formula>
    </cfRule>
  </conditionalFormatting>
  <conditionalFormatting sqref="A1:A554">
    <cfRule type="cellIs" dxfId="2" priority="2" operator="equal">
      <formula>"Bill"</formula>
    </cfRule>
  </conditionalFormatting>
  <conditionalFormatting sqref="A1:A554">
    <cfRule type="cellIs" dxfId="3" priority="3" operator="equal">
      <formula>"Cantone"</formula>
    </cfRule>
  </conditionalFormatting>
  <conditionalFormatting sqref="A1:A554">
    <cfRule type="cellIs" dxfId="4" priority="4" operator="equal">
      <formula>"Dugan"</formula>
    </cfRule>
  </conditionalFormatting>
  <conditionalFormatting sqref="A1:A554">
    <cfRule type="cellIs" dxfId="5" priority="5" operator="equal">
      <formula>"A. Zurek"</formula>
    </cfRule>
  </conditionalFormatting>
  <conditionalFormatting sqref="A1:A554">
    <cfRule type="cellIs" dxfId="6" priority="6" operator="equal">
      <formula>"Faybik"</formula>
    </cfRule>
  </conditionalFormatting>
  <conditionalFormatting sqref="A1:A554">
    <cfRule type="cellIs" dxfId="7" priority="7" operator="equal">
      <formula>"Foley"</formula>
    </cfRule>
  </conditionalFormatting>
  <conditionalFormatting sqref="A1:A554">
    <cfRule type="cellIs" dxfId="8" priority="8" operator="equal">
      <formula>"Jared"</formula>
    </cfRule>
  </conditionalFormatting>
  <conditionalFormatting sqref="A1:A554">
    <cfRule type="cellIs" dxfId="9" priority="9" operator="equal">
      <formula>"Jason"</formula>
    </cfRule>
  </conditionalFormatting>
  <conditionalFormatting sqref="A1:A554">
    <cfRule type="cellIs" dxfId="5" priority="10" operator="equal">
      <formula>"M. Zurek"</formula>
    </cfRule>
  </conditionalFormatting>
  <conditionalFormatting sqref="A1:A554">
    <cfRule type="cellIs" dxfId="10" priority="11" operator="equal">
      <formula>"Ryan"</formula>
    </cfRule>
  </conditionalFormatting>
  <conditionalFormatting sqref="A1:A554">
    <cfRule type="cellIs" dxfId="1" priority="12" operator="equal">
      <formula>"Wayne"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4" max="4" width="16.0"/>
    <col hidden="1" min="5" max="5" width="12.63"/>
    <col customWidth="1" min="7" max="7" width="30.13"/>
  </cols>
  <sheetData>
    <row r="1" ht="15.0" customHeight="1">
      <c r="B1" s="84"/>
      <c r="C1" s="85"/>
      <c r="D1" s="85"/>
      <c r="E1" s="85"/>
      <c r="F1" s="85"/>
      <c r="G1" s="86"/>
    </row>
    <row r="2" ht="15.0" customHeight="1">
      <c r="B2" s="87" t="s">
        <v>399</v>
      </c>
      <c r="C2" s="88"/>
      <c r="D2" s="88"/>
      <c r="E2" s="88"/>
      <c r="F2" s="88"/>
      <c r="G2" s="89"/>
    </row>
    <row r="3" ht="15.0" customHeight="1">
      <c r="B3" s="90" t="s">
        <v>400</v>
      </c>
      <c r="C3" s="90" t="s">
        <v>401</v>
      </c>
      <c r="D3" s="90" t="s">
        <v>402</v>
      </c>
      <c r="E3" s="90" t="s">
        <v>403</v>
      </c>
      <c r="F3" s="90" t="s">
        <v>32</v>
      </c>
      <c r="G3" s="90" t="s">
        <v>44</v>
      </c>
    </row>
    <row r="4" ht="15.0" customHeight="1">
      <c r="B4" s="91">
        <v>1.01</v>
      </c>
      <c r="C4" s="92">
        <v>2.0</v>
      </c>
      <c r="D4" s="11"/>
      <c r="E4" s="11"/>
      <c r="F4" s="12" t="s">
        <v>152</v>
      </c>
      <c r="G4" s="12"/>
    </row>
    <row r="5" ht="15.0" customHeight="1">
      <c r="B5" s="91">
        <v>1.02</v>
      </c>
      <c r="C5" s="92">
        <v>2.0</v>
      </c>
      <c r="D5" s="11"/>
      <c r="E5" s="11"/>
      <c r="F5" s="12" t="s">
        <v>221</v>
      </c>
      <c r="G5" s="12" t="s">
        <v>404</v>
      </c>
    </row>
    <row r="6" ht="15.0" customHeight="1">
      <c r="B6" s="91">
        <v>1.03</v>
      </c>
      <c r="C6" s="92">
        <v>2.0</v>
      </c>
      <c r="D6" s="11"/>
      <c r="E6" s="11"/>
      <c r="F6" s="12" t="s">
        <v>125</v>
      </c>
      <c r="G6" s="12"/>
    </row>
    <row r="7" ht="15.0" customHeight="1">
      <c r="B7" s="93">
        <v>1.04</v>
      </c>
      <c r="C7" s="92">
        <v>2.0</v>
      </c>
      <c r="D7" s="11"/>
      <c r="E7" s="11"/>
      <c r="F7" s="12" t="s">
        <v>100</v>
      </c>
      <c r="G7" s="12" t="s">
        <v>405</v>
      </c>
    </row>
    <row r="8" ht="15.0" customHeight="1">
      <c r="B8" s="94">
        <v>1.05</v>
      </c>
      <c r="C8" s="92">
        <v>2.0</v>
      </c>
      <c r="D8" s="11"/>
      <c r="E8" s="11"/>
      <c r="F8" s="12" t="s">
        <v>199</v>
      </c>
      <c r="G8" s="12"/>
    </row>
    <row r="9" ht="15.0" customHeight="1">
      <c r="B9" s="91">
        <v>1.06</v>
      </c>
      <c r="C9" s="92">
        <v>2.0</v>
      </c>
      <c r="D9" s="11"/>
      <c r="E9" s="11"/>
      <c r="F9" s="12" t="s">
        <v>199</v>
      </c>
      <c r="G9" s="12" t="s">
        <v>200</v>
      </c>
    </row>
    <row r="10" ht="15.0" customHeight="1">
      <c r="B10" s="91">
        <v>1.07</v>
      </c>
      <c r="C10" s="92">
        <v>2.0</v>
      </c>
      <c r="D10" s="11"/>
      <c r="E10" s="11"/>
      <c r="F10" s="12" t="s">
        <v>221</v>
      </c>
      <c r="G10" s="12"/>
    </row>
    <row r="11" ht="15.0" customHeight="1">
      <c r="B11" s="91">
        <v>1.08</v>
      </c>
      <c r="C11" s="92">
        <v>2.0</v>
      </c>
      <c r="D11" s="11"/>
      <c r="E11" s="11"/>
      <c r="F11" s="12" t="s">
        <v>125</v>
      </c>
      <c r="G11" s="12" t="s">
        <v>406</v>
      </c>
    </row>
    <row r="12" ht="15.0" customHeight="1">
      <c r="B12" s="91">
        <v>1.09</v>
      </c>
      <c r="C12" s="92">
        <v>2.0</v>
      </c>
      <c r="D12" s="11"/>
      <c r="E12" s="11"/>
      <c r="F12" s="12" t="s">
        <v>45</v>
      </c>
      <c r="G12" s="12" t="s">
        <v>116</v>
      </c>
    </row>
    <row r="13" ht="15.0" customHeight="1">
      <c r="B13" s="94">
        <v>1.1</v>
      </c>
      <c r="C13" s="92">
        <v>2.0</v>
      </c>
      <c r="D13" s="11"/>
      <c r="E13" s="11"/>
      <c r="F13" s="12" t="s">
        <v>45</v>
      </c>
      <c r="G13" s="12" t="s">
        <v>407</v>
      </c>
    </row>
    <row r="14" ht="15.0" customHeight="1">
      <c r="B14" s="91">
        <v>1.11</v>
      </c>
      <c r="C14" s="92">
        <v>2.0</v>
      </c>
      <c r="D14" s="11"/>
      <c r="E14" s="11"/>
      <c r="F14" s="12" t="s">
        <v>152</v>
      </c>
      <c r="G14" s="12" t="s">
        <v>137</v>
      </c>
    </row>
    <row r="15" ht="15.0" customHeight="1">
      <c r="B15" s="94">
        <v>1.12</v>
      </c>
      <c r="C15" s="92">
        <v>2.0</v>
      </c>
      <c r="D15" s="11"/>
      <c r="E15" s="11"/>
      <c r="F15" s="12" t="s">
        <v>152</v>
      </c>
      <c r="G15" s="12" t="s">
        <v>53</v>
      </c>
    </row>
    <row r="16" ht="15.0" customHeight="1">
      <c r="B16" s="87" t="s">
        <v>408</v>
      </c>
      <c r="C16" s="88"/>
      <c r="D16" s="88"/>
      <c r="E16" s="88"/>
      <c r="F16" s="88"/>
      <c r="G16" s="89"/>
    </row>
    <row r="17" ht="15.0" customHeight="1">
      <c r="B17" s="90" t="s">
        <v>400</v>
      </c>
      <c r="C17" s="90" t="s">
        <v>401</v>
      </c>
      <c r="D17" s="90"/>
      <c r="E17" s="90"/>
      <c r="F17" s="90" t="s">
        <v>32</v>
      </c>
      <c r="G17" s="90" t="s">
        <v>44</v>
      </c>
    </row>
    <row r="18" ht="15.0" customHeight="1">
      <c r="B18" s="91">
        <v>2.01</v>
      </c>
      <c r="C18" s="92">
        <v>1.0</v>
      </c>
      <c r="D18" s="11"/>
      <c r="E18" s="11"/>
      <c r="F18" s="12" t="s">
        <v>152</v>
      </c>
      <c r="G18" s="12"/>
    </row>
    <row r="19" ht="15.0" customHeight="1">
      <c r="B19" s="91">
        <v>2.02</v>
      </c>
      <c r="C19" s="92">
        <v>1.0</v>
      </c>
      <c r="D19" s="11"/>
      <c r="E19" s="11"/>
      <c r="F19" s="12" t="s">
        <v>45</v>
      </c>
      <c r="G19" s="12"/>
    </row>
    <row r="20" ht="15.0" customHeight="1">
      <c r="B20" s="91">
        <v>2.03</v>
      </c>
      <c r="C20" s="92">
        <v>1.0</v>
      </c>
      <c r="D20" s="11"/>
      <c r="E20" s="11"/>
      <c r="F20" s="12" t="s">
        <v>45</v>
      </c>
      <c r="G20" s="12" t="s">
        <v>409</v>
      </c>
    </row>
    <row r="21" ht="15.0" customHeight="1">
      <c r="B21" s="93">
        <v>2.04</v>
      </c>
      <c r="C21" s="92">
        <v>1.0</v>
      </c>
      <c r="D21" s="11"/>
      <c r="E21" s="11"/>
      <c r="F21" s="12" t="s">
        <v>174</v>
      </c>
      <c r="G21" s="12" t="s">
        <v>410</v>
      </c>
    </row>
    <row r="22" ht="15.0" customHeight="1">
      <c r="B22" s="94">
        <v>2.05</v>
      </c>
      <c r="C22" s="92">
        <v>1.0</v>
      </c>
      <c r="D22" s="11"/>
      <c r="E22" s="11"/>
      <c r="F22" s="12" t="s">
        <v>199</v>
      </c>
      <c r="G22" s="11"/>
    </row>
    <row r="23" ht="15.0" customHeight="1">
      <c r="B23" s="91">
        <v>2.06</v>
      </c>
      <c r="C23" s="92">
        <v>1.0</v>
      </c>
      <c r="D23" s="11"/>
      <c r="E23" s="11"/>
      <c r="F23" s="12" t="s">
        <v>125</v>
      </c>
      <c r="G23" s="12" t="s">
        <v>200</v>
      </c>
    </row>
    <row r="24" ht="15.0" customHeight="1">
      <c r="B24" s="91">
        <v>2.07</v>
      </c>
      <c r="C24" s="92">
        <v>1.0</v>
      </c>
      <c r="D24" s="11"/>
      <c r="E24" s="11"/>
      <c r="F24" s="12" t="s">
        <v>174</v>
      </c>
      <c r="G24" s="12" t="s">
        <v>411</v>
      </c>
    </row>
    <row r="25" ht="15.0" customHeight="1">
      <c r="B25" s="91">
        <v>2.08</v>
      </c>
      <c r="C25" s="92">
        <v>1.0</v>
      </c>
      <c r="D25" s="11"/>
      <c r="E25" s="11"/>
      <c r="F25" s="12" t="s">
        <v>125</v>
      </c>
      <c r="G25" s="12" t="s">
        <v>406</v>
      </c>
    </row>
    <row r="26" ht="15.0" customHeight="1">
      <c r="B26" s="91">
        <v>2.09</v>
      </c>
      <c r="C26" s="92">
        <v>1.0</v>
      </c>
      <c r="D26" s="11"/>
      <c r="E26" s="11"/>
      <c r="F26" s="12" t="s">
        <v>125</v>
      </c>
      <c r="G26" s="12" t="s">
        <v>412</v>
      </c>
    </row>
    <row r="27" ht="15.0" customHeight="1">
      <c r="B27" s="94">
        <v>2.1</v>
      </c>
      <c r="C27" s="92">
        <v>1.0</v>
      </c>
      <c r="D27" s="11"/>
      <c r="E27" s="11"/>
      <c r="F27" s="12" t="s">
        <v>174</v>
      </c>
      <c r="G27" s="12" t="s">
        <v>413</v>
      </c>
    </row>
    <row r="28" ht="15.0" customHeight="1">
      <c r="B28" s="91">
        <v>2.11</v>
      </c>
      <c r="C28" s="92">
        <v>1.0</v>
      </c>
      <c r="D28" s="11"/>
      <c r="E28" s="11"/>
      <c r="F28" s="12" t="s">
        <v>297</v>
      </c>
      <c r="G28" s="12" t="s">
        <v>414</v>
      </c>
    </row>
    <row r="29" ht="15.0" customHeight="1">
      <c r="B29" s="94">
        <v>2.12</v>
      </c>
      <c r="C29" s="92">
        <v>1.0</v>
      </c>
      <c r="D29" s="11"/>
      <c r="E29" s="11"/>
      <c r="F29" s="12" t="s">
        <v>297</v>
      </c>
      <c r="G29" s="12" t="s">
        <v>53</v>
      </c>
    </row>
  </sheetData>
  <mergeCells count="3">
    <mergeCell ref="B1:G1"/>
    <mergeCell ref="B2:G2"/>
    <mergeCell ref="B16:G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4" max="4" width="16.0"/>
    <col hidden="1" min="5" max="5" width="12.63"/>
    <col customWidth="1" min="7" max="7" width="30.13"/>
  </cols>
  <sheetData>
    <row r="1" ht="15.0" customHeight="1">
      <c r="B1" s="84"/>
      <c r="C1" s="85"/>
      <c r="D1" s="85"/>
      <c r="E1" s="85"/>
      <c r="F1" s="85"/>
      <c r="G1" s="86"/>
    </row>
    <row r="2" ht="15.0" customHeight="1">
      <c r="B2" s="87" t="s">
        <v>415</v>
      </c>
      <c r="C2" s="88"/>
      <c r="D2" s="88"/>
      <c r="E2" s="88"/>
      <c r="F2" s="88"/>
      <c r="G2" s="89"/>
    </row>
    <row r="3" ht="15.0" customHeight="1">
      <c r="B3" s="90" t="s">
        <v>400</v>
      </c>
      <c r="C3" s="90" t="s">
        <v>401</v>
      </c>
      <c r="D3" s="90" t="s">
        <v>402</v>
      </c>
      <c r="E3" s="90" t="s">
        <v>403</v>
      </c>
      <c r="F3" s="90" t="s">
        <v>32</v>
      </c>
      <c r="G3" s="90" t="s">
        <v>44</v>
      </c>
    </row>
    <row r="4" ht="15.0" customHeight="1">
      <c r="B4" s="91" t="s">
        <v>416</v>
      </c>
      <c r="C4" s="92">
        <v>2.0</v>
      </c>
      <c r="D4" s="11"/>
      <c r="E4" s="11"/>
      <c r="F4" s="12" t="s">
        <v>79</v>
      </c>
      <c r="G4" s="12"/>
    </row>
    <row r="5" ht="15.0" customHeight="1">
      <c r="B5" s="91" t="s">
        <v>416</v>
      </c>
      <c r="C5" s="92">
        <v>2.0</v>
      </c>
      <c r="D5" s="11"/>
      <c r="E5" s="11"/>
      <c r="F5" s="12" t="s">
        <v>45</v>
      </c>
      <c r="G5" s="12"/>
    </row>
    <row r="6" ht="15.0" customHeight="1">
      <c r="B6" s="91" t="s">
        <v>416</v>
      </c>
      <c r="C6" s="92">
        <v>2.0</v>
      </c>
      <c r="D6" s="11"/>
      <c r="E6" s="11"/>
      <c r="F6" s="12" t="s">
        <v>100</v>
      </c>
      <c r="G6" s="12"/>
    </row>
    <row r="7" ht="15.0" customHeight="1">
      <c r="B7" s="91" t="s">
        <v>416</v>
      </c>
      <c r="C7" s="92">
        <v>2.0</v>
      </c>
      <c r="D7" s="11"/>
      <c r="E7" s="11"/>
      <c r="F7" s="12" t="s">
        <v>125</v>
      </c>
      <c r="G7" s="12"/>
    </row>
    <row r="8" ht="15.0" customHeight="1">
      <c r="B8" s="91" t="s">
        <v>416</v>
      </c>
      <c r="C8" s="92">
        <v>2.0</v>
      </c>
      <c r="D8" s="11"/>
      <c r="E8" s="11"/>
      <c r="F8" s="12" t="s">
        <v>152</v>
      </c>
      <c r="G8" s="12"/>
    </row>
    <row r="9" ht="15.0" customHeight="1">
      <c r="B9" s="91" t="s">
        <v>416</v>
      </c>
      <c r="C9" s="92">
        <v>2.0</v>
      </c>
      <c r="D9" s="11"/>
      <c r="E9" s="11"/>
      <c r="F9" s="12" t="s">
        <v>174</v>
      </c>
      <c r="G9" s="12"/>
    </row>
    <row r="10" ht="15.0" customHeight="1">
      <c r="B10" s="91" t="s">
        <v>416</v>
      </c>
      <c r="C10" s="92">
        <v>2.0</v>
      </c>
      <c r="D10" s="11"/>
      <c r="E10" s="11"/>
      <c r="F10" s="12" t="s">
        <v>199</v>
      </c>
      <c r="G10" s="12"/>
    </row>
    <row r="11" ht="15.0" customHeight="1">
      <c r="B11" s="91" t="s">
        <v>416</v>
      </c>
      <c r="C11" s="92">
        <v>2.0</v>
      </c>
      <c r="D11" s="11"/>
      <c r="E11" s="11"/>
      <c r="F11" s="12" t="s">
        <v>221</v>
      </c>
      <c r="G11" s="12"/>
    </row>
    <row r="12" ht="15.0" customHeight="1">
      <c r="B12" s="91" t="s">
        <v>416</v>
      </c>
      <c r="C12" s="92">
        <v>2.0</v>
      </c>
      <c r="D12" s="11"/>
      <c r="E12" s="11"/>
      <c r="F12" s="12" t="s">
        <v>245</v>
      </c>
      <c r="G12" s="12"/>
    </row>
    <row r="13" ht="15.0" customHeight="1">
      <c r="B13" s="91" t="s">
        <v>416</v>
      </c>
      <c r="C13" s="92">
        <v>2.0</v>
      </c>
      <c r="D13" s="11"/>
      <c r="E13" s="11"/>
      <c r="F13" s="12" t="s">
        <v>269</v>
      </c>
      <c r="G13" s="12"/>
    </row>
    <row r="14" ht="15.0" customHeight="1">
      <c r="B14" s="91" t="s">
        <v>416</v>
      </c>
      <c r="C14" s="92">
        <v>2.0</v>
      </c>
      <c r="D14" s="11"/>
      <c r="E14" s="11"/>
      <c r="F14" s="12" t="s">
        <v>297</v>
      </c>
      <c r="G14" s="12"/>
    </row>
    <row r="15" ht="15.0" customHeight="1">
      <c r="B15" s="91" t="s">
        <v>416</v>
      </c>
      <c r="C15" s="92">
        <v>2.0</v>
      </c>
      <c r="D15" s="11"/>
      <c r="E15" s="11"/>
      <c r="F15" s="12" t="s">
        <v>341</v>
      </c>
      <c r="G15" s="12"/>
    </row>
    <row r="16" ht="15.0" customHeight="1">
      <c r="B16" s="87" t="s">
        <v>417</v>
      </c>
      <c r="C16" s="88"/>
      <c r="D16" s="88"/>
      <c r="E16" s="88"/>
      <c r="F16" s="88"/>
      <c r="G16" s="89"/>
    </row>
    <row r="17" ht="15.0" customHeight="1">
      <c r="B17" s="90" t="s">
        <v>400</v>
      </c>
      <c r="C17" s="90" t="s">
        <v>401</v>
      </c>
      <c r="D17" s="90"/>
      <c r="E17" s="90"/>
      <c r="F17" s="90" t="s">
        <v>32</v>
      </c>
      <c r="G17" s="90" t="s">
        <v>44</v>
      </c>
    </row>
    <row r="18" ht="15.0" customHeight="1">
      <c r="B18" s="91" t="s">
        <v>418</v>
      </c>
      <c r="C18" s="92">
        <v>1.0</v>
      </c>
      <c r="D18" s="11"/>
      <c r="E18" s="11"/>
      <c r="F18" s="12" t="s">
        <v>79</v>
      </c>
      <c r="G18" s="12"/>
    </row>
    <row r="19" ht="15.0" customHeight="1">
      <c r="B19" s="91" t="s">
        <v>418</v>
      </c>
      <c r="C19" s="92">
        <v>1.0</v>
      </c>
      <c r="D19" s="11"/>
      <c r="E19" s="11"/>
      <c r="F19" s="12" t="s">
        <v>45</v>
      </c>
      <c r="G19" s="12"/>
    </row>
    <row r="20" ht="15.0" customHeight="1">
      <c r="B20" s="91" t="s">
        <v>418</v>
      </c>
      <c r="C20" s="92">
        <v>1.0</v>
      </c>
      <c r="D20" s="11"/>
      <c r="E20" s="11"/>
      <c r="F20" s="12" t="s">
        <v>100</v>
      </c>
      <c r="G20" s="12"/>
    </row>
    <row r="21" ht="15.0" customHeight="1">
      <c r="B21" s="91" t="s">
        <v>418</v>
      </c>
      <c r="C21" s="92">
        <v>1.0</v>
      </c>
      <c r="D21" s="11"/>
      <c r="E21" s="11"/>
      <c r="F21" s="12" t="s">
        <v>125</v>
      </c>
      <c r="G21" s="12"/>
    </row>
    <row r="22" ht="15.0" customHeight="1">
      <c r="B22" s="91" t="s">
        <v>418</v>
      </c>
      <c r="C22" s="92">
        <v>1.0</v>
      </c>
      <c r="D22" s="11"/>
      <c r="E22" s="11"/>
      <c r="F22" s="12" t="s">
        <v>152</v>
      </c>
      <c r="G22" s="11"/>
    </row>
    <row r="23" ht="15.0" customHeight="1">
      <c r="B23" s="91" t="s">
        <v>418</v>
      </c>
      <c r="C23" s="92">
        <v>1.0</v>
      </c>
      <c r="D23" s="11"/>
      <c r="E23" s="11"/>
      <c r="F23" s="12" t="s">
        <v>174</v>
      </c>
      <c r="G23" s="12"/>
    </row>
    <row r="24" ht="15.0" customHeight="1">
      <c r="B24" s="91" t="s">
        <v>418</v>
      </c>
      <c r="C24" s="92">
        <v>1.0</v>
      </c>
      <c r="D24" s="11"/>
      <c r="E24" s="11"/>
      <c r="F24" s="12" t="s">
        <v>199</v>
      </c>
      <c r="G24" s="12"/>
    </row>
    <row r="25" ht="15.0" customHeight="1">
      <c r="B25" s="91" t="s">
        <v>418</v>
      </c>
      <c r="C25" s="92">
        <v>1.0</v>
      </c>
      <c r="D25" s="11"/>
      <c r="E25" s="11"/>
      <c r="F25" s="12" t="s">
        <v>221</v>
      </c>
      <c r="G25" s="12"/>
    </row>
    <row r="26" ht="15.0" customHeight="1">
      <c r="B26" s="91" t="s">
        <v>418</v>
      </c>
      <c r="C26" s="92">
        <v>1.0</v>
      </c>
      <c r="D26" s="11"/>
      <c r="E26" s="11"/>
      <c r="F26" s="12" t="s">
        <v>245</v>
      </c>
      <c r="G26" s="12"/>
    </row>
    <row r="27" ht="15.0" customHeight="1">
      <c r="B27" s="91" t="s">
        <v>418</v>
      </c>
      <c r="C27" s="92">
        <v>1.0</v>
      </c>
      <c r="D27" s="11"/>
      <c r="E27" s="11"/>
      <c r="F27" s="12" t="s">
        <v>269</v>
      </c>
      <c r="G27" s="12"/>
    </row>
    <row r="28" ht="15.0" customHeight="1">
      <c r="B28" s="91" t="s">
        <v>418</v>
      </c>
      <c r="C28" s="92">
        <v>1.0</v>
      </c>
      <c r="D28" s="11"/>
      <c r="E28" s="11"/>
      <c r="F28" s="12" t="s">
        <v>297</v>
      </c>
      <c r="G28" s="12"/>
    </row>
    <row r="29" ht="15.0" customHeight="1">
      <c r="B29" s="91" t="s">
        <v>418</v>
      </c>
      <c r="C29" s="92">
        <v>1.0</v>
      </c>
      <c r="D29" s="11"/>
      <c r="E29" s="11"/>
      <c r="F29" s="12" t="s">
        <v>341</v>
      </c>
      <c r="G29" s="12"/>
    </row>
  </sheetData>
  <mergeCells count="3">
    <mergeCell ref="B1:G1"/>
    <mergeCell ref="B2:G2"/>
    <mergeCell ref="B16:G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</cols>
  <sheetData>
    <row r="1">
      <c r="A1" s="95"/>
      <c r="B1" s="96" t="s">
        <v>245</v>
      </c>
      <c r="C1" s="96" t="s">
        <v>152</v>
      </c>
      <c r="D1" s="96" t="s">
        <v>125</v>
      </c>
      <c r="E1" s="96" t="s">
        <v>419</v>
      </c>
      <c r="F1" s="96" t="s">
        <v>420</v>
      </c>
      <c r="G1" s="96" t="s">
        <v>174</v>
      </c>
      <c r="H1" s="96" t="s">
        <v>221</v>
      </c>
      <c r="I1" s="96" t="s">
        <v>421</v>
      </c>
      <c r="J1" s="96" t="s">
        <v>100</v>
      </c>
      <c r="K1" s="96" t="s">
        <v>341</v>
      </c>
      <c r="L1" s="96" t="s">
        <v>199</v>
      </c>
      <c r="M1" s="96" t="s">
        <v>297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98" t="s">
        <v>422</v>
      </c>
      <c r="B2" s="99">
        <v>250.0</v>
      </c>
      <c r="C2" s="99">
        <v>250.0</v>
      </c>
      <c r="D2" s="99">
        <v>250.0</v>
      </c>
      <c r="E2" s="100">
        <v>250.0</v>
      </c>
      <c r="F2" s="100">
        <v>250.0</v>
      </c>
      <c r="G2" s="100">
        <v>250.0</v>
      </c>
      <c r="H2" s="100">
        <v>250.0</v>
      </c>
      <c r="I2" s="99">
        <v>250.0</v>
      </c>
      <c r="J2" s="99">
        <v>250.0</v>
      </c>
      <c r="K2" s="100">
        <v>250.0</v>
      </c>
      <c r="L2" s="100">
        <v>250.0</v>
      </c>
      <c r="M2" s="100">
        <v>250.0</v>
      </c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98" t="s">
        <v>423</v>
      </c>
      <c r="B3" s="100"/>
      <c r="C3" s="99" t="s">
        <v>424</v>
      </c>
      <c r="D3" s="99" t="s">
        <v>425</v>
      </c>
      <c r="E3" s="100" t="s">
        <v>426</v>
      </c>
      <c r="F3" s="100" t="s">
        <v>426</v>
      </c>
      <c r="G3" s="100" t="s">
        <v>425</v>
      </c>
      <c r="H3" s="99" t="s">
        <v>425</v>
      </c>
      <c r="I3" s="99" t="s">
        <v>425</v>
      </c>
      <c r="J3" s="99" t="s">
        <v>425</v>
      </c>
      <c r="K3" s="99" t="s">
        <v>425</v>
      </c>
      <c r="L3" s="100" t="s">
        <v>426</v>
      </c>
      <c r="M3" s="100" t="s">
        <v>425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2" t="s">
        <v>427</v>
      </c>
      <c r="B5" s="98">
        <f t="shared" ref="B5:M5" si="1">SUM(B10:B23) + SUM(B26:B27) + SUM(B30:B32)</f>
        <v>140</v>
      </c>
      <c r="C5" s="98">
        <f t="shared" si="1"/>
        <v>20</v>
      </c>
      <c r="D5" s="98">
        <f t="shared" si="1"/>
        <v>30</v>
      </c>
      <c r="E5" s="98">
        <f t="shared" si="1"/>
        <v>300</v>
      </c>
      <c r="F5" s="98">
        <f t="shared" si="1"/>
        <v>-10</v>
      </c>
      <c r="G5" s="98">
        <f t="shared" si="1"/>
        <v>200</v>
      </c>
      <c r="H5" s="98">
        <f t="shared" si="1"/>
        <v>40</v>
      </c>
      <c r="I5" s="98">
        <f t="shared" si="1"/>
        <v>0</v>
      </c>
      <c r="J5" s="98">
        <f t="shared" si="1"/>
        <v>1640</v>
      </c>
      <c r="K5" s="98">
        <f t="shared" si="1"/>
        <v>550</v>
      </c>
      <c r="L5" s="98">
        <f t="shared" si="1"/>
        <v>-30</v>
      </c>
      <c r="M5" s="98">
        <f t="shared" si="1"/>
        <v>-20</v>
      </c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3" t="s">
        <v>428</v>
      </c>
      <c r="B6" s="104">
        <v>140.0</v>
      </c>
      <c r="C6" s="104">
        <v>20.0</v>
      </c>
      <c r="D6" s="104">
        <v>30.0</v>
      </c>
      <c r="E6" s="103">
        <v>300.0</v>
      </c>
      <c r="F6" s="103">
        <v>-10.0</v>
      </c>
      <c r="G6" s="103">
        <v>200.0</v>
      </c>
      <c r="H6" s="103">
        <v>40.0</v>
      </c>
      <c r="I6" s="103"/>
      <c r="J6" s="104">
        <v>1640.0</v>
      </c>
      <c r="K6" s="104">
        <v>550.0</v>
      </c>
      <c r="L6" s="103">
        <v>-30.0</v>
      </c>
      <c r="M6" s="103">
        <v>-20.0</v>
      </c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>
      <c r="A7" s="100" t="s">
        <v>429</v>
      </c>
      <c r="B7" s="105"/>
      <c r="C7" s="105" t="str">
        <f t="shared" ref="C7:M7" si="2">IF(C5-C6=0, "", C5-C6)</f>
        <v/>
      </c>
      <c r="D7" s="105" t="str">
        <f t="shared" si="2"/>
        <v/>
      </c>
      <c r="E7" s="105" t="str">
        <f t="shared" si="2"/>
        <v/>
      </c>
      <c r="F7" s="105" t="str">
        <f t="shared" si="2"/>
        <v/>
      </c>
      <c r="G7" s="105" t="str">
        <f t="shared" si="2"/>
        <v/>
      </c>
      <c r="H7" s="105" t="str">
        <f t="shared" si="2"/>
        <v/>
      </c>
      <c r="I7" s="105" t="str">
        <f t="shared" si="2"/>
        <v/>
      </c>
      <c r="J7" s="105" t="str">
        <f t="shared" si="2"/>
        <v/>
      </c>
      <c r="K7" s="105" t="str">
        <f t="shared" si="2"/>
        <v/>
      </c>
      <c r="L7" s="105" t="str">
        <f t="shared" si="2"/>
        <v/>
      </c>
      <c r="M7" s="105" t="str">
        <f t="shared" si="2"/>
        <v/>
      </c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07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09" t="s">
        <v>430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98">
        <v>1.0</v>
      </c>
      <c r="B10" s="101"/>
      <c r="C10" s="111"/>
      <c r="D10" s="100">
        <v>-10.0</v>
      </c>
      <c r="E10" s="111"/>
      <c r="F10" s="111"/>
      <c r="G10" s="111"/>
      <c r="H10" s="101"/>
      <c r="I10" s="111"/>
      <c r="J10" s="111"/>
      <c r="K10" s="100">
        <v>50.0</v>
      </c>
      <c r="L10" s="111"/>
      <c r="M10" s="111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8">
        <v>2.0</v>
      </c>
      <c r="B11" s="101"/>
      <c r="C11" s="101"/>
      <c r="D11" s="100">
        <v>50.0</v>
      </c>
      <c r="E11" s="111"/>
      <c r="F11" s="111"/>
      <c r="G11" s="101"/>
      <c r="H11" s="111"/>
      <c r="I11" s="111"/>
      <c r="J11" s="111"/>
      <c r="K11" s="111"/>
      <c r="L11" s="111"/>
      <c r="M11" s="100">
        <v>-10.0</v>
      </c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98">
        <v>3.0</v>
      </c>
      <c r="B12" s="101"/>
      <c r="C12" s="111"/>
      <c r="D12" s="101"/>
      <c r="E12" s="111"/>
      <c r="F12" s="111"/>
      <c r="G12" s="111"/>
      <c r="H12" s="100">
        <v>-10.0</v>
      </c>
      <c r="I12" s="111"/>
      <c r="J12" s="111"/>
      <c r="K12" s="100">
        <v>50.0</v>
      </c>
      <c r="L12" s="111"/>
      <c r="M12" s="111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8">
        <v>4.0</v>
      </c>
      <c r="B13" s="111"/>
      <c r="C13" s="111"/>
      <c r="D13" s="111"/>
      <c r="E13" s="111"/>
      <c r="F13" s="111"/>
      <c r="G13" s="100">
        <v>50.0</v>
      </c>
      <c r="H13" s="111"/>
      <c r="I13" s="111"/>
      <c r="J13" s="100">
        <v>-10.0</v>
      </c>
      <c r="K13" s="111"/>
      <c r="L13" s="101"/>
      <c r="M13" s="111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8">
        <v>5.0</v>
      </c>
      <c r="B14" s="111"/>
      <c r="C14" s="111"/>
      <c r="D14" s="111"/>
      <c r="E14" s="111"/>
      <c r="F14" s="111"/>
      <c r="G14" s="100">
        <v>50.0</v>
      </c>
      <c r="H14" s="111"/>
      <c r="I14" s="101"/>
      <c r="J14" s="111"/>
      <c r="K14" s="101"/>
      <c r="L14" s="100">
        <v>-10.0</v>
      </c>
      <c r="M14" s="111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8">
        <v>6.0</v>
      </c>
      <c r="B15" s="100">
        <v>50.0</v>
      </c>
      <c r="C15" s="101"/>
      <c r="D15" s="100">
        <v>-10.0</v>
      </c>
      <c r="E15" s="111"/>
      <c r="F15" s="111"/>
      <c r="G15" s="111"/>
      <c r="H15" s="111"/>
      <c r="I15" s="111"/>
      <c r="J15" s="111"/>
      <c r="K15" s="101"/>
      <c r="L15" s="111"/>
      <c r="M15" s="111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8">
        <v>7.0</v>
      </c>
      <c r="B16" s="100">
        <v>-10.0</v>
      </c>
      <c r="C16" s="101"/>
      <c r="D16" s="111"/>
      <c r="E16" s="111"/>
      <c r="F16" s="111"/>
      <c r="G16" s="100">
        <v>50.0</v>
      </c>
      <c r="H16" s="111"/>
      <c r="I16" s="111"/>
      <c r="J16" s="111"/>
      <c r="K16" s="111"/>
      <c r="L16" s="111"/>
      <c r="M16" s="111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8">
        <v>8.0</v>
      </c>
      <c r="B17" s="101"/>
      <c r="C17" s="100">
        <v>50.0</v>
      </c>
      <c r="D17" s="111"/>
      <c r="E17" s="111"/>
      <c r="F17" s="100">
        <v>-10.0</v>
      </c>
      <c r="G17" s="111"/>
      <c r="H17" s="111"/>
      <c r="I17" s="111"/>
      <c r="J17" s="101"/>
      <c r="K17" s="111"/>
      <c r="L17" s="111"/>
      <c r="M17" s="111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8">
        <v>9.0</v>
      </c>
      <c r="B18" s="101"/>
      <c r="C18" s="100">
        <v>-10.0</v>
      </c>
      <c r="D18" s="101"/>
      <c r="E18" s="111"/>
      <c r="F18" s="111"/>
      <c r="G18" s="111"/>
      <c r="H18" s="100">
        <v>50.0</v>
      </c>
      <c r="I18" s="111"/>
      <c r="J18" s="111"/>
      <c r="K18" s="111"/>
      <c r="L18" s="101"/>
      <c r="M18" s="111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8">
        <v>10.0</v>
      </c>
      <c r="B19" s="101"/>
      <c r="C19" s="111"/>
      <c r="D19" s="101"/>
      <c r="E19" s="100">
        <v>50.0</v>
      </c>
      <c r="F19" s="111"/>
      <c r="G19" s="111"/>
      <c r="H19" s="111"/>
      <c r="I19" s="111"/>
      <c r="J19" s="111"/>
      <c r="K19" s="111"/>
      <c r="L19" s="100">
        <v>-10.0</v>
      </c>
      <c r="M19" s="111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8">
        <v>11.0</v>
      </c>
      <c r="B20" s="101"/>
      <c r="C20" s="100">
        <v>-10.0</v>
      </c>
      <c r="D20" s="111"/>
      <c r="E20" s="100">
        <v>50.0</v>
      </c>
      <c r="F20" s="111"/>
      <c r="G20" s="111"/>
      <c r="H20" s="111"/>
      <c r="I20" s="111"/>
      <c r="J20" s="111"/>
      <c r="K20" s="111"/>
      <c r="L20" s="111"/>
      <c r="M20" s="101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98">
        <v>12.0</v>
      </c>
      <c r="B21" s="111"/>
      <c r="C21" s="101"/>
      <c r="D21" s="111"/>
      <c r="E21" s="111"/>
      <c r="F21" s="111"/>
      <c r="G21" s="100">
        <v>50.0</v>
      </c>
      <c r="H21" s="111"/>
      <c r="I21" s="111"/>
      <c r="J21" s="111"/>
      <c r="K21" s="101"/>
      <c r="L21" s="111"/>
      <c r="M21" s="100">
        <v>-10.0</v>
      </c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8">
        <v>13.0</v>
      </c>
      <c r="B22" s="111"/>
      <c r="C22" s="111"/>
      <c r="D22" s="111"/>
      <c r="E22" s="100">
        <v>50.0</v>
      </c>
      <c r="F22" s="111"/>
      <c r="G22" s="111"/>
      <c r="H22" s="111"/>
      <c r="I22" s="101"/>
      <c r="J22" s="111"/>
      <c r="K22" s="111"/>
      <c r="L22" s="100">
        <v>-10.0</v>
      </c>
      <c r="M22" s="111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8">
        <v>14.0</v>
      </c>
      <c r="B23" s="111"/>
      <c r="C23" s="100">
        <v>-10.0</v>
      </c>
      <c r="D23" s="111"/>
      <c r="E23" s="100">
        <v>50.0</v>
      </c>
      <c r="F23" s="111"/>
      <c r="G23" s="111"/>
      <c r="H23" s="111"/>
      <c r="I23" s="111"/>
      <c r="J23" s="101"/>
      <c r="K23" s="101"/>
      <c r="L23" s="111"/>
      <c r="M23" s="111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13" t="s">
        <v>431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15" t="s">
        <v>432</v>
      </c>
      <c r="B26" s="111"/>
      <c r="C26" s="111"/>
      <c r="D26" s="101"/>
      <c r="E26" s="101"/>
      <c r="F26" s="111"/>
      <c r="G26" s="111"/>
      <c r="H26" s="111"/>
      <c r="I26" s="111"/>
      <c r="J26" s="116">
        <v>250.0</v>
      </c>
      <c r="K26" s="111"/>
      <c r="L26" s="111"/>
      <c r="M26" s="111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9" t="s">
        <v>433</v>
      </c>
      <c r="B27" s="111"/>
      <c r="C27" s="111"/>
      <c r="D27" s="111"/>
      <c r="E27" s="116">
        <v>100.0</v>
      </c>
      <c r="F27" s="111"/>
      <c r="G27" s="101"/>
      <c r="H27" s="111"/>
      <c r="I27" s="111"/>
      <c r="J27" s="111"/>
      <c r="K27" s="111"/>
      <c r="L27" s="111"/>
      <c r="M27" s="111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17" t="s">
        <v>434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9" t="s">
        <v>435</v>
      </c>
      <c r="B30" s="111"/>
      <c r="C30" s="111"/>
      <c r="D30" s="111"/>
      <c r="E30" s="111"/>
      <c r="F30" s="111"/>
      <c r="G30" s="111"/>
      <c r="H30" s="111"/>
      <c r="I30" s="111"/>
      <c r="J30" s="116">
        <v>1400.0</v>
      </c>
      <c r="K30" s="111"/>
      <c r="L30" s="111"/>
      <c r="M30" s="111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15" t="s">
        <v>436</v>
      </c>
      <c r="B31" s="111"/>
      <c r="C31" s="111"/>
      <c r="D31" s="101"/>
      <c r="E31" s="111"/>
      <c r="F31" s="111"/>
      <c r="G31" s="111"/>
      <c r="H31" s="111"/>
      <c r="I31" s="111"/>
      <c r="J31" s="111"/>
      <c r="K31" s="116">
        <v>450.0</v>
      </c>
      <c r="L31" s="111"/>
      <c r="M31" s="111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15" t="s">
        <v>437</v>
      </c>
      <c r="B32" s="116">
        <v>100.0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01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2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7">
      <c r="A37" s="119" t="s">
        <v>438</v>
      </c>
      <c r="B37" s="120">
        <f>12*250</f>
        <v>3000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19" t="s">
        <v>439</v>
      </c>
      <c r="B38" s="120">
        <f>14*10</f>
        <v>140</v>
      </c>
      <c r="C38" s="120" t="s">
        <v>440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19" t="s">
        <v>441</v>
      </c>
      <c r="B40" s="106"/>
      <c r="C40" s="121">
        <v>50.0</v>
      </c>
      <c r="D40" s="106"/>
      <c r="E40" s="112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19" t="s">
        <v>442</v>
      </c>
      <c r="B41" s="122">
        <f>B37-(C40*14)</f>
        <v>2300</v>
      </c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19" t="s">
        <v>443</v>
      </c>
      <c r="B43" s="123">
        <v>0.1</v>
      </c>
      <c r="C43" s="122">
        <f>B41*B43</f>
        <v>230</v>
      </c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19" t="s">
        <v>444</v>
      </c>
      <c r="B44" s="123">
        <v>0.05</v>
      </c>
      <c r="C44" s="122">
        <f>B41*B44</f>
        <v>115</v>
      </c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19" t="s">
        <v>442</v>
      </c>
      <c r="B46" s="122">
        <f>B41-C43-C44</f>
        <v>1955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19" t="s">
        <v>445</v>
      </c>
      <c r="B48" s="123">
        <v>0.65</v>
      </c>
      <c r="C48" s="122">
        <f>($B$46*B48) + B38</f>
        <v>1410.75</v>
      </c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19" t="s">
        <v>446</v>
      </c>
      <c r="B49" s="123">
        <v>0.25</v>
      </c>
      <c r="C49" s="122">
        <f t="shared" ref="C49:C50" si="3">$B$46*B49</f>
        <v>488.75</v>
      </c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19" t="s">
        <v>447</v>
      </c>
      <c r="B50" s="123">
        <v>0.1</v>
      </c>
      <c r="C50" s="122">
        <f t="shared" si="3"/>
        <v>195.5</v>
      </c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</sheetData>
  <conditionalFormatting sqref="B10:Z23">
    <cfRule type="cellIs" dxfId="6" priority="1" operator="greaterThanOrEqual">
      <formula>0</formula>
    </cfRule>
  </conditionalFormatting>
  <conditionalFormatting sqref="B10:Z23">
    <cfRule type="cellIs" dxfId="5" priority="2" operator="lessThan">
      <formula>0</formula>
    </cfRule>
  </conditionalFormatting>
  <conditionalFormatting sqref="B10:Z23">
    <cfRule type="cellIs" dxfId="5" priority="3" operator="lessThan">
      <formula>0</formula>
    </cfRule>
  </conditionalFormatting>
  <conditionalFormatting sqref="B5:Z5">
    <cfRule type="cellIs" dxfId="6" priority="4" operator="greaterThan">
      <formula>0</formula>
    </cfRule>
  </conditionalFormatting>
  <conditionalFormatting sqref="B5:Z5">
    <cfRule type="cellIs" dxfId="5" priority="5" operator="lessThan">
      <formula>0</formula>
    </cfRule>
  </conditionalFormatting>
  <conditionalFormatting sqref="B7:M7">
    <cfRule type="notContainsBlanks" dxfId="7" priority="6">
      <formula>LEN(TRIM(B7))&gt;0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7.75"/>
    <col customWidth="1" min="3" max="3" width="31.25"/>
  </cols>
  <sheetData>
    <row r="1">
      <c r="A1" s="124" t="s">
        <v>448</v>
      </c>
      <c r="B1" s="125" t="s">
        <v>32</v>
      </c>
      <c r="C1" s="125" t="s">
        <v>32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</row>
    <row r="2">
      <c r="A2" s="127">
        <v>46127.0</v>
      </c>
      <c r="B2" s="125" t="s">
        <v>174</v>
      </c>
      <c r="C2" s="125" t="s">
        <v>100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>
      <c r="A3" s="128"/>
      <c r="B3" s="115" t="s">
        <v>175</v>
      </c>
      <c r="C3" s="115" t="s">
        <v>124</v>
      </c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>
      <c r="A4" s="129">
        <v>46114.0</v>
      </c>
      <c r="B4" s="125" t="s">
        <v>174</v>
      </c>
      <c r="C4" s="125" t="s">
        <v>221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</row>
    <row r="5">
      <c r="A5" s="128"/>
      <c r="B5" s="115" t="s">
        <v>449</v>
      </c>
      <c r="C5" s="130" t="s">
        <v>450</v>
      </c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</row>
    <row r="6">
      <c r="A6" s="128"/>
      <c r="B6" s="130" t="s">
        <v>451</v>
      </c>
      <c r="C6" s="115" t="s">
        <v>224</v>
      </c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</row>
    <row r="7">
      <c r="A7" s="129">
        <v>46114.0</v>
      </c>
      <c r="B7" s="125" t="s">
        <v>174</v>
      </c>
      <c r="C7" s="125" t="s">
        <v>45</v>
      </c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</row>
    <row r="8">
      <c r="A8" s="128"/>
      <c r="B8" s="130" t="s">
        <v>450</v>
      </c>
      <c r="C8" s="115" t="s">
        <v>78</v>
      </c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</row>
    <row r="9">
      <c r="A9" s="131"/>
      <c r="B9" s="130" t="s">
        <v>452</v>
      </c>
      <c r="C9" s="115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</row>
    <row r="10">
      <c r="A10" s="131"/>
      <c r="B10" s="115" t="s">
        <v>177</v>
      </c>
      <c r="C10" s="115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</row>
    <row r="11">
      <c r="A11" s="131"/>
      <c r="B11" s="115"/>
      <c r="C11" s="115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</row>
    <row r="12">
      <c r="A12" s="131"/>
      <c r="B12" s="115"/>
      <c r="C12" s="115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</row>
    <row r="13">
      <c r="A13" s="131"/>
      <c r="B13" s="115"/>
      <c r="C13" s="115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</row>
    <row r="14">
      <c r="A14" s="131"/>
      <c r="B14" s="115"/>
      <c r="C14" s="115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</row>
    <row r="15">
      <c r="A15" s="131"/>
      <c r="B15" s="115"/>
      <c r="C15" s="115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</row>
    <row r="16">
      <c r="A16" s="131"/>
      <c r="B16" s="115"/>
      <c r="C16" s="115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</row>
    <row r="17">
      <c r="A17" s="131"/>
      <c r="B17" s="115"/>
      <c r="C17" s="115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</row>
    <row r="18">
      <c r="A18" s="131"/>
      <c r="B18" s="115"/>
      <c r="C18" s="115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</row>
    <row r="19">
      <c r="A19" s="131"/>
      <c r="B19" s="115"/>
      <c r="C19" s="115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</row>
    <row r="20">
      <c r="A20" s="131"/>
      <c r="B20" s="115"/>
      <c r="C20" s="115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</row>
    <row r="21">
      <c r="A21" s="131"/>
      <c r="B21" s="115"/>
      <c r="C21" s="115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</row>
    <row r="22">
      <c r="A22" s="131"/>
      <c r="B22" s="115"/>
      <c r="C22" s="115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</row>
    <row r="23">
      <c r="A23" s="131"/>
      <c r="B23" s="115"/>
      <c r="C23" s="115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</row>
    <row r="24">
      <c r="A24" s="131"/>
      <c r="B24" s="115"/>
      <c r="C24" s="11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</row>
    <row r="25">
      <c r="A25" s="131"/>
      <c r="B25" s="115"/>
      <c r="C25" s="115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</row>
    <row r="26">
      <c r="A26" s="131"/>
      <c r="B26" s="115"/>
      <c r="C26" s="115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</row>
    <row r="27">
      <c r="A27" s="131"/>
      <c r="B27" s="115"/>
      <c r="C27" s="115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</row>
    <row r="28">
      <c r="A28" s="131"/>
      <c r="B28" s="115"/>
      <c r="C28" s="115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</row>
    <row r="29">
      <c r="A29" s="131"/>
      <c r="B29" s="115"/>
      <c r="C29" s="115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</row>
    <row r="30">
      <c r="A30" s="131"/>
      <c r="B30" s="115"/>
      <c r="C30" s="115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</row>
    <row r="31">
      <c r="A31" s="131"/>
      <c r="B31" s="115"/>
      <c r="C31" s="115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</row>
    <row r="32">
      <c r="A32" s="131"/>
      <c r="B32" s="115"/>
      <c r="C32" s="115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</row>
    <row r="33">
      <c r="A33" s="131"/>
      <c r="B33" s="115"/>
      <c r="C33" s="115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</row>
    <row r="34">
      <c r="A34" s="132" t="s">
        <v>453</v>
      </c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</row>
    <row r="35">
      <c r="A35" s="127">
        <v>45980.0</v>
      </c>
      <c r="B35" s="125" t="s">
        <v>125</v>
      </c>
      <c r="C35" s="125" t="s">
        <v>79</v>
      </c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</row>
    <row r="36">
      <c r="A36" s="131"/>
      <c r="B36" s="115" t="s">
        <v>126</v>
      </c>
      <c r="C36" s="115" t="s">
        <v>97</v>
      </c>
      <c r="D36" s="126"/>
      <c r="E36" s="133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</row>
    <row r="37">
      <c r="A37" s="131"/>
      <c r="B37" s="115" t="s">
        <v>147</v>
      </c>
      <c r="C37" s="115" t="s">
        <v>454</v>
      </c>
      <c r="D37" s="126"/>
      <c r="E37" s="133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</row>
    <row r="38">
      <c r="A38" s="127">
        <v>45979.0</v>
      </c>
      <c r="B38" s="125" t="s">
        <v>100</v>
      </c>
      <c r="C38" s="125" t="s">
        <v>152</v>
      </c>
      <c r="D38" s="126"/>
      <c r="E38" s="133">
        <v>31.0</v>
      </c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</row>
    <row r="39">
      <c r="A39" s="134"/>
      <c r="B39" s="135" t="s">
        <v>109</v>
      </c>
      <c r="C39" s="135" t="s">
        <v>197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</row>
    <row r="40">
      <c r="A40" s="134"/>
      <c r="B40" s="135" t="s">
        <v>102</v>
      </c>
      <c r="C40" s="135" t="s">
        <v>156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</row>
    <row r="41">
      <c r="A41" s="134"/>
      <c r="C41" s="130" t="s">
        <v>455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</row>
    <row r="42">
      <c r="A42" s="127">
        <v>45975.0</v>
      </c>
      <c r="B42" s="125" t="s">
        <v>152</v>
      </c>
      <c r="C42" s="125" t="s">
        <v>269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</row>
    <row r="43">
      <c r="A43" s="134"/>
      <c r="B43" s="135" t="s">
        <v>163</v>
      </c>
      <c r="C43" s="135" t="s">
        <v>250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</row>
    <row r="44">
      <c r="A44" s="134"/>
      <c r="B44" s="135" t="s">
        <v>167</v>
      </c>
      <c r="C44" s="135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</row>
    <row r="45">
      <c r="A45" s="127">
        <v>45975.0</v>
      </c>
      <c r="B45" s="125" t="s">
        <v>199</v>
      </c>
      <c r="C45" s="125" t="s">
        <v>221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</row>
    <row r="46">
      <c r="A46" s="134"/>
      <c r="B46" s="135" t="s">
        <v>456</v>
      </c>
      <c r="C46" s="135" t="s">
        <v>232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</row>
    <row r="47">
      <c r="A47" s="134"/>
      <c r="B47" s="135" t="s">
        <v>213</v>
      </c>
      <c r="C47" s="135" t="s">
        <v>342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</row>
    <row r="48">
      <c r="A48" s="134"/>
      <c r="B48" s="135" t="s">
        <v>335</v>
      </c>
      <c r="C48" s="135" t="s">
        <v>229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</row>
    <row r="49">
      <c r="A49" s="127">
        <v>45974.0</v>
      </c>
      <c r="B49" s="125" t="s">
        <v>245</v>
      </c>
      <c r="C49" s="125" t="s">
        <v>421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</row>
    <row r="50">
      <c r="A50" s="134"/>
      <c r="B50" s="135" t="s">
        <v>457</v>
      </c>
      <c r="C50" s="135" t="s">
        <v>88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</row>
    <row r="51">
      <c r="A51" s="134"/>
      <c r="B51" s="135" t="s">
        <v>249</v>
      </c>
      <c r="C51" s="135" t="s">
        <v>90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</row>
    <row r="52">
      <c r="A52" s="134"/>
      <c r="B52" s="130"/>
      <c r="C52" s="135" t="s">
        <v>91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</row>
    <row r="53">
      <c r="A53" s="127">
        <v>45973.0</v>
      </c>
      <c r="B53" s="125" t="s">
        <v>152</v>
      </c>
      <c r="C53" s="125" t="s">
        <v>341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</row>
    <row r="54">
      <c r="A54" s="134"/>
      <c r="B54" s="135" t="s">
        <v>162</v>
      </c>
      <c r="C54" s="135" t="s">
        <v>346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</row>
    <row r="55">
      <c r="A55" s="134"/>
      <c r="B55" s="135" t="s">
        <v>172</v>
      </c>
      <c r="C55" s="135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</row>
    <row r="56">
      <c r="A56" s="134"/>
      <c r="B56" s="135" t="s">
        <v>157</v>
      </c>
      <c r="C56" s="135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</row>
    <row r="57">
      <c r="A57" s="134"/>
      <c r="B57" s="130" t="s">
        <v>458</v>
      </c>
      <c r="C57" s="135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</row>
    <row r="58">
      <c r="A58" s="127">
        <v>45973.0</v>
      </c>
      <c r="B58" s="125" t="s">
        <v>125</v>
      </c>
      <c r="C58" s="125" t="s">
        <v>421</v>
      </c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</row>
    <row r="59">
      <c r="A59" s="134"/>
      <c r="B59" s="135" t="s">
        <v>459</v>
      </c>
      <c r="C59" s="135" t="s">
        <v>87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</row>
    <row r="60">
      <c r="A60" s="134"/>
      <c r="B60" s="130" t="s">
        <v>460</v>
      </c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</row>
    <row r="61">
      <c r="A61" s="127">
        <v>45973.0</v>
      </c>
      <c r="B61" s="125" t="s">
        <v>199</v>
      </c>
      <c r="C61" s="125" t="s">
        <v>421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</row>
    <row r="62">
      <c r="A62" s="134"/>
      <c r="B62" s="135" t="s">
        <v>180</v>
      </c>
      <c r="C62" s="135" t="s">
        <v>457</v>
      </c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</row>
    <row r="63">
      <c r="A63" s="134"/>
      <c r="B63" s="135" t="s">
        <v>461</v>
      </c>
      <c r="C63" s="135" t="s">
        <v>82</v>
      </c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</row>
    <row r="64">
      <c r="A64" s="134"/>
      <c r="B64" s="135" t="s">
        <v>206</v>
      </c>
      <c r="C64" s="135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</row>
    <row r="65">
      <c r="A65" s="134"/>
      <c r="B65" s="130" t="s">
        <v>462</v>
      </c>
      <c r="C65" s="135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</row>
    <row r="66">
      <c r="A66" s="127">
        <v>45966.0</v>
      </c>
      <c r="B66" s="125" t="s">
        <v>174</v>
      </c>
      <c r="C66" s="125" t="s">
        <v>221</v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</row>
    <row r="67">
      <c r="A67" s="134"/>
      <c r="B67" s="135" t="s">
        <v>76</v>
      </c>
      <c r="C67" s="135" t="s">
        <v>238</v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</row>
    <row r="68">
      <c r="A68" s="134"/>
      <c r="B68" s="130" t="s">
        <v>463</v>
      </c>
      <c r="C68" s="135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</row>
    <row r="69">
      <c r="A69" s="127">
        <v>45966.0</v>
      </c>
      <c r="B69" s="125" t="s">
        <v>100</v>
      </c>
      <c r="C69" s="125" t="s">
        <v>269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</row>
    <row r="70">
      <c r="A70" s="134"/>
      <c r="B70" s="135" t="s">
        <v>119</v>
      </c>
      <c r="C70" s="135" t="s">
        <v>277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</row>
    <row r="71">
      <c r="A71" s="127">
        <v>45963.0</v>
      </c>
      <c r="B71" s="125" t="s">
        <v>100</v>
      </c>
      <c r="C71" s="125" t="s">
        <v>269</v>
      </c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</row>
    <row r="72">
      <c r="A72" s="134"/>
      <c r="B72" s="135" t="s">
        <v>464</v>
      </c>
      <c r="C72" s="135" t="s">
        <v>275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</row>
    <row r="73">
      <c r="A73" s="127">
        <v>45953.0</v>
      </c>
      <c r="B73" s="125" t="s">
        <v>174</v>
      </c>
      <c r="C73" s="125" t="s">
        <v>269</v>
      </c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</row>
    <row r="74">
      <c r="A74" s="134"/>
      <c r="B74" s="135" t="s">
        <v>192</v>
      </c>
      <c r="C74" s="135" t="s">
        <v>163</v>
      </c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</row>
    <row r="75">
      <c r="A75" s="134"/>
      <c r="B75" s="135" t="s">
        <v>193</v>
      </c>
      <c r="C75" s="135" t="s">
        <v>261</v>
      </c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</row>
    <row r="76">
      <c r="A76" s="127">
        <v>45952.0</v>
      </c>
      <c r="B76" s="125" t="s">
        <v>174</v>
      </c>
      <c r="C76" s="125" t="s">
        <v>45</v>
      </c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</row>
    <row r="77">
      <c r="A77" s="134"/>
      <c r="B77" s="135" t="s">
        <v>465</v>
      </c>
      <c r="C77" s="135" t="s">
        <v>70</v>
      </c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</row>
    <row r="78">
      <c r="A78" s="134"/>
      <c r="B78" s="135" t="s">
        <v>178</v>
      </c>
      <c r="C78" s="135" t="s">
        <v>309</v>
      </c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</row>
    <row r="79">
      <c r="A79" s="134"/>
      <c r="B79" s="135" t="s">
        <v>189</v>
      </c>
      <c r="C79" s="130" t="s">
        <v>466</v>
      </c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</row>
    <row r="80">
      <c r="A80" s="134"/>
      <c r="B80" s="130"/>
      <c r="C80" s="130" t="s">
        <v>467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</row>
    <row r="81">
      <c r="A81" s="127">
        <v>45950.0</v>
      </c>
      <c r="B81" s="125" t="s">
        <v>297</v>
      </c>
      <c r="C81" s="125" t="s">
        <v>341</v>
      </c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</row>
    <row r="82">
      <c r="A82" s="134"/>
      <c r="B82" s="135" t="s">
        <v>330</v>
      </c>
      <c r="C82" s="135" t="s">
        <v>352</v>
      </c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</row>
    <row r="83">
      <c r="A83" s="134"/>
      <c r="B83" s="130" t="s">
        <v>468</v>
      </c>
      <c r="C83" s="135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</row>
    <row r="84">
      <c r="A84" s="129">
        <v>45930.0</v>
      </c>
      <c r="B84" s="125" t="s">
        <v>199</v>
      </c>
      <c r="C84" s="125" t="s">
        <v>100</v>
      </c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</row>
    <row r="85">
      <c r="A85" s="134"/>
      <c r="B85" s="104" t="s">
        <v>204</v>
      </c>
      <c r="C85" s="135" t="s">
        <v>275</v>
      </c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</row>
    <row r="86">
      <c r="A86" s="129">
        <v>45929.0</v>
      </c>
      <c r="B86" s="125" t="s">
        <v>297</v>
      </c>
      <c r="C86" s="125" t="s">
        <v>245</v>
      </c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</row>
    <row r="87">
      <c r="A87" s="134"/>
      <c r="B87" s="135" t="s">
        <v>327</v>
      </c>
      <c r="C87" s="135" t="s">
        <v>251</v>
      </c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</row>
    <row r="88">
      <c r="A88" s="134"/>
      <c r="B88" s="135" t="s">
        <v>326</v>
      </c>
      <c r="C88" s="135" t="s">
        <v>247</v>
      </c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</row>
    <row r="89">
      <c r="A89" s="134"/>
      <c r="B89" s="135" t="s">
        <v>469</v>
      </c>
      <c r="C89" s="135" t="s">
        <v>253</v>
      </c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</row>
    <row r="90">
      <c r="A90" s="134"/>
      <c r="B90" s="135" t="s">
        <v>314</v>
      </c>
      <c r="C90" s="135" t="s">
        <v>91</v>
      </c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</row>
    <row r="91">
      <c r="A91" s="134"/>
      <c r="B91" s="135" t="s">
        <v>325</v>
      </c>
      <c r="C91" s="135" t="s">
        <v>329</v>
      </c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</row>
    <row r="92">
      <c r="A92" s="129">
        <v>45917.0</v>
      </c>
      <c r="B92" s="125" t="s">
        <v>245</v>
      </c>
      <c r="C92" s="125" t="s">
        <v>125</v>
      </c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</row>
    <row r="93">
      <c r="A93" s="134"/>
      <c r="B93" s="135" t="s">
        <v>252</v>
      </c>
      <c r="C93" s="135" t="s">
        <v>470</v>
      </c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</row>
    <row r="94">
      <c r="A94" s="134"/>
      <c r="B94" s="135"/>
      <c r="C94" s="130" t="s">
        <v>471</v>
      </c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</row>
    <row r="95">
      <c r="A95" s="129">
        <v>45916.0</v>
      </c>
      <c r="B95" s="125" t="s">
        <v>125</v>
      </c>
      <c r="C95" s="125" t="s">
        <v>79</v>
      </c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</row>
    <row r="96">
      <c r="B96" s="115" t="s">
        <v>139</v>
      </c>
      <c r="C96" s="104" t="s">
        <v>472</v>
      </c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</row>
    <row r="97">
      <c r="A97" s="131"/>
      <c r="B97" s="115" t="s">
        <v>136</v>
      </c>
      <c r="C97" s="104" t="s">
        <v>83</v>
      </c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</row>
    <row r="98">
      <c r="A98" s="131"/>
      <c r="B98" s="115" t="s">
        <v>134</v>
      </c>
      <c r="C98" s="13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</row>
    <row r="99">
      <c r="A99" s="131"/>
      <c r="B99" s="130" t="s">
        <v>473</v>
      </c>
      <c r="C99" s="115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</row>
    <row r="100">
      <c r="A100" s="131"/>
      <c r="B100" s="130" t="s">
        <v>474</v>
      </c>
      <c r="C100" s="115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</row>
    <row r="101">
      <c r="A101" s="129">
        <v>45916.0</v>
      </c>
      <c r="B101" s="125" t="s">
        <v>45</v>
      </c>
      <c r="C101" s="125" t="s">
        <v>269</v>
      </c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</row>
    <row r="102">
      <c r="A102" s="131"/>
      <c r="B102" s="137" t="s">
        <v>185</v>
      </c>
      <c r="C102" s="115" t="s">
        <v>278</v>
      </c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</row>
    <row r="103">
      <c r="A103" s="131"/>
      <c r="B103" s="104" t="s">
        <v>291</v>
      </c>
      <c r="C103" s="115" t="s">
        <v>95</v>
      </c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</row>
    <row r="104">
      <c r="A104" s="131"/>
      <c r="B104" s="104" t="s">
        <v>65</v>
      </c>
      <c r="C104" s="115" t="s">
        <v>475</v>
      </c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</row>
    <row r="105">
      <c r="A105" s="131"/>
      <c r="B105" s="130" t="s">
        <v>476</v>
      </c>
      <c r="C105" s="115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</row>
    <row r="106">
      <c r="A106" s="129">
        <v>45916.0</v>
      </c>
      <c r="B106" s="125" t="s">
        <v>45</v>
      </c>
      <c r="C106" s="125" t="s">
        <v>297</v>
      </c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</row>
    <row r="107">
      <c r="A107" s="131"/>
      <c r="B107" s="104" t="s">
        <v>477</v>
      </c>
      <c r="C107" s="115" t="s">
        <v>247</v>
      </c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</row>
    <row r="108">
      <c r="A108" s="131"/>
      <c r="B108" s="104" t="s">
        <v>69</v>
      </c>
      <c r="C108" s="115" t="s">
        <v>253</v>
      </c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</row>
    <row r="109">
      <c r="A109" s="131"/>
      <c r="B109" s="104" t="s">
        <v>68</v>
      </c>
      <c r="C109" s="115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</row>
    <row r="110">
      <c r="A110" s="131"/>
      <c r="B110" s="130" t="s">
        <v>478</v>
      </c>
      <c r="C110" s="115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</row>
    <row r="111">
      <c r="A111" s="129">
        <v>45899.0</v>
      </c>
      <c r="B111" s="125" t="s">
        <v>125</v>
      </c>
      <c r="C111" s="125" t="s">
        <v>221</v>
      </c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</row>
    <row r="112">
      <c r="A112" s="131"/>
      <c r="B112" s="104" t="s">
        <v>143</v>
      </c>
      <c r="C112" s="115" t="s">
        <v>233</v>
      </c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</row>
    <row r="113">
      <c r="A113" s="129">
        <v>45899.0</v>
      </c>
      <c r="B113" s="125" t="s">
        <v>125</v>
      </c>
      <c r="C113" s="125" t="s">
        <v>174</v>
      </c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</row>
    <row r="114">
      <c r="A114" s="131"/>
      <c r="B114" s="104" t="s">
        <v>133</v>
      </c>
      <c r="C114" s="115" t="s">
        <v>324</v>
      </c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</row>
    <row r="115">
      <c r="A115" s="131"/>
      <c r="B115" s="136"/>
      <c r="C115" s="138" t="s">
        <v>467</v>
      </c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</row>
    <row r="116">
      <c r="A116" s="129">
        <v>45890.0</v>
      </c>
      <c r="B116" s="125" t="s">
        <v>419</v>
      </c>
      <c r="C116" s="125" t="s">
        <v>297</v>
      </c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</row>
    <row r="117">
      <c r="A117" s="131"/>
      <c r="B117" s="104" t="s">
        <v>271</v>
      </c>
      <c r="C117" s="115" t="s">
        <v>311</v>
      </c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</row>
    <row r="118">
      <c r="A118" s="131"/>
      <c r="B118" s="136"/>
      <c r="C118" s="115" t="s">
        <v>151</v>
      </c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</row>
    <row r="119">
      <c r="A119" s="131"/>
      <c r="B119" s="136"/>
      <c r="C119" s="115" t="s">
        <v>68</v>
      </c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</row>
    <row r="120">
      <c r="A120" s="129">
        <v>45887.0</v>
      </c>
      <c r="B120" s="125" t="s">
        <v>245</v>
      </c>
      <c r="C120" s="125" t="s">
        <v>174</v>
      </c>
    </row>
    <row r="121">
      <c r="A121" s="139"/>
      <c r="B121" s="104" t="s">
        <v>248</v>
      </c>
      <c r="C121" s="104" t="s">
        <v>285</v>
      </c>
    </row>
    <row r="122">
      <c r="A122" s="139"/>
      <c r="B122" s="138" t="s">
        <v>471</v>
      </c>
      <c r="C122" s="104" t="s">
        <v>182</v>
      </c>
    </row>
    <row r="123">
      <c r="A123" s="139"/>
      <c r="B123" s="103"/>
      <c r="C123" s="104" t="s">
        <v>70</v>
      </c>
    </row>
    <row r="124">
      <c r="A124" s="140">
        <v>45859.0</v>
      </c>
      <c r="B124" s="141" t="s">
        <v>245</v>
      </c>
      <c r="C124" s="141" t="s">
        <v>221</v>
      </c>
    </row>
    <row r="125">
      <c r="B125" s="138" t="s">
        <v>479</v>
      </c>
      <c r="C125" s="138" t="s">
        <v>480</v>
      </c>
    </row>
    <row r="126">
      <c r="A126" s="140">
        <v>45859.0</v>
      </c>
      <c r="B126" s="141" t="s">
        <v>481</v>
      </c>
      <c r="C126" s="141" t="s">
        <v>221</v>
      </c>
    </row>
    <row r="127">
      <c r="B127" s="138" t="s">
        <v>482</v>
      </c>
      <c r="C127" s="138" t="s">
        <v>483</v>
      </c>
    </row>
    <row r="128">
      <c r="A128" s="136"/>
      <c r="B128" s="136"/>
      <c r="C128" s="104" t="s">
        <v>484</v>
      </c>
    </row>
    <row r="129">
      <c r="A129" s="140">
        <v>45823.0</v>
      </c>
      <c r="B129" s="141" t="s">
        <v>481</v>
      </c>
      <c r="C129" s="141" t="s">
        <v>245</v>
      </c>
    </row>
    <row r="130">
      <c r="B130" s="104" t="s">
        <v>276</v>
      </c>
      <c r="C130" s="104" t="s">
        <v>228</v>
      </c>
    </row>
    <row r="131">
      <c r="A131" s="136"/>
      <c r="B131" s="115" t="s">
        <v>189</v>
      </c>
      <c r="C131" s="115" t="s">
        <v>285</v>
      </c>
    </row>
    <row r="132">
      <c r="B132" s="138" t="s">
        <v>476</v>
      </c>
      <c r="C132" s="138" t="s">
        <v>485</v>
      </c>
    </row>
    <row r="133">
      <c r="C133" s="138" t="s">
        <v>486</v>
      </c>
    </row>
    <row r="134">
      <c r="A134" s="140">
        <v>45820.0</v>
      </c>
      <c r="B134" s="141" t="s">
        <v>481</v>
      </c>
      <c r="C134" s="141" t="s">
        <v>421</v>
      </c>
    </row>
    <row r="135">
      <c r="A135" s="126"/>
      <c r="B135" s="104" t="s">
        <v>316</v>
      </c>
      <c r="C135" s="138" t="s">
        <v>487</v>
      </c>
    </row>
    <row r="136">
      <c r="A136" s="126"/>
      <c r="B136" s="138" t="s">
        <v>485</v>
      </c>
      <c r="C136" s="138" t="s">
        <v>488</v>
      </c>
    </row>
    <row r="137">
      <c r="A137" s="136"/>
      <c r="B137" s="138" t="s">
        <v>486</v>
      </c>
      <c r="C137" s="136"/>
    </row>
    <row r="138">
      <c r="A138" s="140">
        <v>45805.0</v>
      </c>
      <c r="B138" s="141" t="s">
        <v>297</v>
      </c>
      <c r="C138" s="141" t="s">
        <v>100</v>
      </c>
    </row>
    <row r="139">
      <c r="B139" s="104" t="s">
        <v>312</v>
      </c>
      <c r="C139" s="104" t="s">
        <v>103</v>
      </c>
    </row>
    <row r="140">
      <c r="A140" s="136"/>
      <c r="B140" s="138" t="s">
        <v>489</v>
      </c>
      <c r="C140" s="138" t="s">
        <v>490</v>
      </c>
    </row>
    <row r="141">
      <c r="B141" s="138" t="s">
        <v>491</v>
      </c>
      <c r="C141" s="138" t="s">
        <v>492</v>
      </c>
    </row>
    <row r="142">
      <c r="B142" s="138" t="s">
        <v>493</v>
      </c>
      <c r="C142" s="138" t="s">
        <v>494</v>
      </c>
    </row>
    <row r="143">
      <c r="A143" s="140">
        <v>45790.0</v>
      </c>
      <c r="B143" s="141" t="s">
        <v>297</v>
      </c>
      <c r="C143" s="141" t="s">
        <v>245</v>
      </c>
    </row>
    <row r="144">
      <c r="B144" s="142" t="s">
        <v>495</v>
      </c>
      <c r="C144" s="104" t="s">
        <v>246</v>
      </c>
    </row>
    <row r="145">
      <c r="A145" s="136"/>
      <c r="B145" s="142" t="s">
        <v>496</v>
      </c>
      <c r="C145" s="104"/>
    </row>
    <row r="146">
      <c r="A146" s="140">
        <v>45772.0</v>
      </c>
      <c r="B146" s="141" t="s">
        <v>481</v>
      </c>
      <c r="C146" s="141" t="s">
        <v>341</v>
      </c>
    </row>
    <row r="147">
      <c r="B147" s="104" t="s">
        <v>273</v>
      </c>
      <c r="C147" s="142" t="s">
        <v>497</v>
      </c>
    </row>
    <row r="148">
      <c r="A148" s="136"/>
      <c r="B148" s="104" t="s">
        <v>274</v>
      </c>
      <c r="C148" s="104" t="s">
        <v>157</v>
      </c>
    </row>
    <row r="149">
      <c r="A149" s="140">
        <v>45700.0</v>
      </c>
      <c r="B149" s="141" t="s">
        <v>245</v>
      </c>
      <c r="C149" s="141" t="s">
        <v>100</v>
      </c>
    </row>
    <row r="150">
      <c r="A150" s="136"/>
      <c r="B150" s="104" t="s">
        <v>220</v>
      </c>
      <c r="C150" s="104" t="s">
        <v>312</v>
      </c>
    </row>
    <row r="151">
      <c r="A151" s="136"/>
      <c r="B151" s="104" t="s">
        <v>131</v>
      </c>
      <c r="C151" s="104" t="s">
        <v>498</v>
      </c>
    </row>
    <row r="152">
      <c r="A152" s="136"/>
      <c r="B152" s="142" t="s">
        <v>499</v>
      </c>
      <c r="C152" s="142" t="s">
        <v>489</v>
      </c>
    </row>
    <row r="153">
      <c r="A153" s="136"/>
      <c r="B153" s="136"/>
      <c r="C153" s="136"/>
    </row>
    <row r="154">
      <c r="A154" s="136"/>
      <c r="B154" s="136"/>
      <c r="C154" s="136"/>
    </row>
    <row r="155">
      <c r="A155" s="136"/>
      <c r="B155" s="136"/>
      <c r="C155" s="136"/>
    </row>
    <row r="156">
      <c r="A156" s="136"/>
      <c r="B156" s="136"/>
      <c r="C156" s="136"/>
    </row>
    <row r="157">
      <c r="A157" s="136"/>
      <c r="B157" s="136"/>
      <c r="C157" s="136"/>
    </row>
    <row r="158">
      <c r="A158" s="136"/>
      <c r="B158" s="136"/>
      <c r="C158" s="136"/>
    </row>
    <row r="159">
      <c r="A159" s="136"/>
      <c r="B159" s="136"/>
      <c r="C159" s="136"/>
    </row>
    <row r="160">
      <c r="A160" s="136"/>
      <c r="B160" s="136"/>
      <c r="C160" s="136"/>
    </row>
    <row r="161">
      <c r="A161" s="136"/>
      <c r="B161" s="136"/>
      <c r="C161" s="136"/>
    </row>
    <row r="162">
      <c r="A162" s="136"/>
      <c r="B162" s="136"/>
      <c r="C162" s="136"/>
    </row>
    <row r="163">
      <c r="A163" s="136"/>
      <c r="B163" s="136"/>
      <c r="C163" s="136"/>
    </row>
    <row r="164">
      <c r="A164" s="136"/>
      <c r="B164" s="136"/>
      <c r="C164" s="136"/>
    </row>
    <row r="165">
      <c r="A165" s="136"/>
      <c r="B165" s="136"/>
      <c r="C165" s="136"/>
    </row>
    <row r="166">
      <c r="A166" s="136"/>
      <c r="B166" s="136"/>
      <c r="C166" s="136"/>
    </row>
    <row r="167">
      <c r="A167" s="136"/>
      <c r="B167" s="136"/>
      <c r="C167" s="136"/>
    </row>
    <row r="168">
      <c r="A168" s="136"/>
      <c r="B168" s="136"/>
      <c r="C168" s="136"/>
    </row>
    <row r="169">
      <c r="A169" s="136"/>
      <c r="B169" s="136"/>
      <c r="C169" s="136"/>
    </row>
    <row r="170">
      <c r="A170" s="136"/>
      <c r="B170" s="136"/>
      <c r="C170" s="136"/>
    </row>
    <row r="171">
      <c r="A171" s="136"/>
      <c r="B171" s="136"/>
      <c r="C171" s="136"/>
    </row>
    <row r="172">
      <c r="A172" s="136"/>
      <c r="B172" s="136"/>
      <c r="C172" s="136"/>
    </row>
    <row r="173">
      <c r="A173" s="136"/>
      <c r="B173" s="136"/>
      <c r="C173" s="136"/>
    </row>
    <row r="174">
      <c r="A174" s="136"/>
      <c r="B174" s="136"/>
      <c r="C174" s="136"/>
    </row>
    <row r="175">
      <c r="A175" s="136"/>
      <c r="B175" s="136"/>
      <c r="C175" s="136"/>
    </row>
    <row r="176">
      <c r="A176" s="136"/>
      <c r="B176" s="136"/>
      <c r="C176" s="136"/>
    </row>
    <row r="177">
      <c r="A177" s="136"/>
      <c r="B177" s="136"/>
      <c r="C177" s="136"/>
    </row>
    <row r="178">
      <c r="A178" s="136"/>
      <c r="B178" s="136"/>
      <c r="C178" s="136"/>
    </row>
    <row r="179">
      <c r="A179" s="136"/>
      <c r="B179" s="136"/>
      <c r="C179" s="136"/>
    </row>
    <row r="180">
      <c r="A180" s="136"/>
      <c r="B180" s="136"/>
      <c r="C180" s="136"/>
    </row>
    <row r="181">
      <c r="A181" s="136"/>
      <c r="B181" s="136"/>
      <c r="C181" s="136"/>
    </row>
    <row r="182">
      <c r="A182" s="136"/>
      <c r="B182" s="136"/>
      <c r="C182" s="136"/>
    </row>
    <row r="183">
      <c r="A183" s="136"/>
      <c r="B183" s="136"/>
      <c r="C183" s="136"/>
    </row>
    <row r="184">
      <c r="A184" s="136"/>
      <c r="B184" s="136"/>
      <c r="C184" s="136"/>
    </row>
    <row r="185">
      <c r="A185" s="136"/>
      <c r="B185" s="136"/>
      <c r="C185" s="136"/>
    </row>
    <row r="186">
      <c r="A186" s="136"/>
      <c r="B186" s="136"/>
      <c r="C186" s="136"/>
    </row>
    <row r="187">
      <c r="A187" s="136"/>
      <c r="B187" s="136"/>
      <c r="C187" s="136"/>
    </row>
    <row r="188">
      <c r="A188" s="136"/>
      <c r="B188" s="136"/>
      <c r="C188" s="136"/>
    </row>
    <row r="189">
      <c r="A189" s="136"/>
      <c r="B189" s="136"/>
      <c r="C189" s="136"/>
    </row>
    <row r="190">
      <c r="A190" s="136"/>
      <c r="B190" s="136"/>
      <c r="C190" s="136"/>
    </row>
    <row r="191">
      <c r="A191" s="136"/>
      <c r="B191" s="136"/>
      <c r="C191" s="136"/>
    </row>
    <row r="192">
      <c r="A192" s="136"/>
      <c r="B192" s="136"/>
      <c r="C192" s="136"/>
    </row>
    <row r="193">
      <c r="A193" s="136"/>
      <c r="B193" s="136"/>
      <c r="C193" s="136"/>
    </row>
    <row r="194">
      <c r="A194" s="136"/>
      <c r="B194" s="136"/>
      <c r="C194" s="136"/>
    </row>
    <row r="195">
      <c r="A195" s="136"/>
      <c r="B195" s="136"/>
      <c r="C195" s="136"/>
    </row>
    <row r="196">
      <c r="A196" s="136"/>
      <c r="B196" s="136"/>
      <c r="C196" s="136"/>
    </row>
    <row r="197">
      <c r="A197" s="136"/>
      <c r="B197" s="136"/>
      <c r="C197" s="136"/>
    </row>
    <row r="198">
      <c r="A198" s="136"/>
      <c r="B198" s="136"/>
      <c r="C198" s="136"/>
    </row>
    <row r="199">
      <c r="A199" s="136"/>
      <c r="B199" s="136"/>
      <c r="C199" s="136"/>
    </row>
    <row r="200">
      <c r="A200" s="136"/>
      <c r="B200" s="136"/>
      <c r="C200" s="136"/>
    </row>
    <row r="201">
      <c r="A201" s="136"/>
      <c r="B201" s="136"/>
      <c r="C201" s="136"/>
    </row>
    <row r="202">
      <c r="A202" s="136"/>
      <c r="B202" s="136"/>
      <c r="C202" s="136"/>
    </row>
    <row r="203">
      <c r="A203" s="136"/>
      <c r="B203" s="136"/>
      <c r="C203" s="136"/>
    </row>
    <row r="204">
      <c r="A204" s="136"/>
      <c r="B204" s="136"/>
      <c r="C204" s="136"/>
    </row>
    <row r="205">
      <c r="A205" s="136"/>
      <c r="B205" s="136"/>
      <c r="C205" s="136"/>
    </row>
    <row r="206">
      <c r="A206" s="136"/>
      <c r="B206" s="136"/>
      <c r="C206" s="136"/>
    </row>
    <row r="207">
      <c r="A207" s="136"/>
      <c r="B207" s="136"/>
      <c r="C207" s="136"/>
    </row>
    <row r="208">
      <c r="A208" s="136"/>
      <c r="B208" s="136"/>
      <c r="C208" s="136"/>
    </row>
    <row r="209">
      <c r="A209" s="136"/>
      <c r="B209" s="136"/>
      <c r="C209" s="136"/>
    </row>
    <row r="210">
      <c r="A210" s="136"/>
      <c r="B210" s="136"/>
      <c r="C210" s="136"/>
    </row>
    <row r="211">
      <c r="A211" s="136"/>
      <c r="B211" s="136"/>
      <c r="C211" s="136"/>
    </row>
    <row r="212">
      <c r="A212" s="136"/>
      <c r="B212" s="136"/>
      <c r="C212" s="136"/>
    </row>
    <row r="213">
      <c r="A213" s="136"/>
      <c r="B213" s="136"/>
      <c r="C213" s="136"/>
    </row>
    <row r="214">
      <c r="A214" s="136"/>
      <c r="B214" s="136"/>
      <c r="C214" s="136"/>
    </row>
    <row r="215">
      <c r="A215" s="136"/>
      <c r="B215" s="136"/>
      <c r="C215" s="136"/>
    </row>
    <row r="216">
      <c r="A216" s="136"/>
      <c r="B216" s="136"/>
      <c r="C216" s="136"/>
    </row>
    <row r="217">
      <c r="A217" s="136"/>
      <c r="B217" s="136"/>
      <c r="C217" s="136"/>
    </row>
    <row r="218">
      <c r="A218" s="136"/>
      <c r="B218" s="136"/>
      <c r="C218" s="136"/>
    </row>
    <row r="219">
      <c r="A219" s="136"/>
      <c r="B219" s="136"/>
      <c r="C219" s="136"/>
    </row>
    <row r="220">
      <c r="A220" s="136"/>
      <c r="B220" s="136"/>
      <c r="C220" s="136"/>
    </row>
    <row r="221">
      <c r="A221" s="136"/>
      <c r="B221" s="136"/>
      <c r="C221" s="136"/>
    </row>
    <row r="222">
      <c r="A222" s="136"/>
      <c r="B222" s="136"/>
      <c r="C222" s="136"/>
    </row>
    <row r="223">
      <c r="A223" s="136"/>
      <c r="B223" s="136"/>
      <c r="C223" s="136"/>
    </row>
    <row r="224">
      <c r="A224" s="136"/>
      <c r="B224" s="136"/>
      <c r="C224" s="136"/>
    </row>
    <row r="225">
      <c r="A225" s="136"/>
      <c r="B225" s="136"/>
      <c r="C225" s="136"/>
    </row>
    <row r="226">
      <c r="A226" s="136"/>
      <c r="B226" s="136"/>
      <c r="C226" s="136"/>
    </row>
    <row r="227">
      <c r="A227" s="136"/>
      <c r="B227" s="136"/>
      <c r="C227" s="136"/>
    </row>
    <row r="228">
      <c r="A228" s="136"/>
      <c r="B228" s="136"/>
      <c r="C228" s="136"/>
    </row>
    <row r="229">
      <c r="A229" s="136"/>
      <c r="B229" s="136"/>
      <c r="C229" s="136"/>
    </row>
    <row r="230">
      <c r="A230" s="136"/>
      <c r="B230" s="136"/>
      <c r="C230" s="136"/>
    </row>
    <row r="231">
      <c r="A231" s="136"/>
      <c r="B231" s="136"/>
      <c r="C231" s="136"/>
    </row>
    <row r="232">
      <c r="A232" s="136"/>
      <c r="B232" s="136"/>
      <c r="C232" s="136"/>
    </row>
    <row r="233">
      <c r="A233" s="136"/>
      <c r="B233" s="136"/>
      <c r="C233" s="136"/>
    </row>
    <row r="234">
      <c r="A234" s="136"/>
      <c r="B234" s="136"/>
      <c r="C234" s="136"/>
    </row>
    <row r="235">
      <c r="A235" s="136"/>
      <c r="B235" s="136"/>
      <c r="C235" s="136"/>
    </row>
    <row r="236">
      <c r="A236" s="136"/>
      <c r="B236" s="136"/>
      <c r="C236" s="136"/>
    </row>
    <row r="237">
      <c r="A237" s="136"/>
      <c r="B237" s="136"/>
      <c r="C237" s="136"/>
    </row>
    <row r="238">
      <c r="A238" s="136"/>
      <c r="B238" s="136"/>
      <c r="C238" s="136"/>
    </row>
    <row r="239">
      <c r="A239" s="136"/>
      <c r="B239" s="136"/>
      <c r="C239" s="136"/>
    </row>
    <row r="240">
      <c r="A240" s="136"/>
      <c r="B240" s="136"/>
      <c r="C240" s="136"/>
    </row>
    <row r="241">
      <c r="A241" s="136"/>
      <c r="B241" s="136"/>
      <c r="C241" s="136"/>
    </row>
    <row r="242">
      <c r="A242" s="136"/>
      <c r="B242" s="136"/>
      <c r="C242" s="136"/>
    </row>
    <row r="243">
      <c r="A243" s="136"/>
      <c r="B243" s="136"/>
      <c r="C243" s="136"/>
    </row>
    <row r="244">
      <c r="A244" s="136"/>
      <c r="B244" s="136"/>
      <c r="C244" s="136"/>
    </row>
    <row r="245">
      <c r="A245" s="136"/>
      <c r="B245" s="136"/>
      <c r="C245" s="136"/>
    </row>
    <row r="246">
      <c r="A246" s="136"/>
      <c r="B246" s="136"/>
      <c r="C246" s="136"/>
    </row>
    <row r="247">
      <c r="A247" s="136"/>
      <c r="B247" s="136"/>
      <c r="C247" s="136"/>
    </row>
    <row r="248">
      <c r="A248" s="136"/>
      <c r="B248" s="136"/>
      <c r="C248" s="136"/>
    </row>
    <row r="249">
      <c r="A249" s="136"/>
      <c r="B249" s="136"/>
      <c r="C249" s="136"/>
    </row>
    <row r="250">
      <c r="A250" s="136"/>
      <c r="B250" s="136"/>
      <c r="C250" s="136"/>
    </row>
    <row r="251">
      <c r="A251" s="136"/>
      <c r="B251" s="136"/>
      <c r="C251" s="136"/>
    </row>
    <row r="252">
      <c r="A252" s="136"/>
      <c r="B252" s="104"/>
      <c r="C252" s="136"/>
    </row>
    <row r="253">
      <c r="A253" s="136"/>
      <c r="B253" s="104"/>
      <c r="C253" s="136"/>
    </row>
    <row r="254">
      <c r="A254" s="136"/>
      <c r="B254" s="136"/>
      <c r="C254" s="136"/>
    </row>
    <row r="255">
      <c r="A255" s="136"/>
      <c r="B255" s="136"/>
      <c r="C255" s="136"/>
    </row>
    <row r="256">
      <c r="A256" s="136"/>
      <c r="B256" s="136"/>
      <c r="C256" s="136"/>
    </row>
    <row r="257">
      <c r="A257" s="136"/>
      <c r="B257" s="136"/>
      <c r="C257" s="136"/>
    </row>
    <row r="258">
      <c r="A258" s="136"/>
      <c r="B258" s="136"/>
      <c r="C258" s="136"/>
    </row>
    <row r="259">
      <c r="A259" s="136"/>
      <c r="B259" s="136"/>
      <c r="C259" s="136"/>
    </row>
    <row r="260">
      <c r="A260" s="136"/>
      <c r="B260" s="136"/>
      <c r="C260" s="136"/>
    </row>
    <row r="261">
      <c r="A261" s="136"/>
      <c r="B261" s="136"/>
      <c r="C261" s="136"/>
    </row>
    <row r="262">
      <c r="A262" s="136"/>
      <c r="B262" s="136"/>
      <c r="C262" s="136"/>
    </row>
    <row r="263">
      <c r="A263" s="136"/>
      <c r="B263" s="136"/>
      <c r="C263" s="136"/>
    </row>
    <row r="264">
      <c r="A264" s="136"/>
      <c r="B264" s="136"/>
      <c r="C264" s="136"/>
    </row>
    <row r="265">
      <c r="A265" s="136"/>
      <c r="B265" s="136"/>
      <c r="C265" s="136"/>
    </row>
    <row r="266">
      <c r="A266" s="136"/>
      <c r="B266" s="136"/>
      <c r="C266" s="136"/>
    </row>
    <row r="267">
      <c r="A267" s="136"/>
      <c r="B267" s="136"/>
      <c r="C267" s="136"/>
    </row>
    <row r="268">
      <c r="A268" s="136"/>
      <c r="B268" s="136"/>
      <c r="C268" s="136"/>
    </row>
    <row r="269">
      <c r="A269" s="136"/>
      <c r="B269" s="136"/>
      <c r="C269" s="136"/>
    </row>
    <row r="270">
      <c r="A270" s="136"/>
      <c r="B270" s="136"/>
      <c r="C270" s="136"/>
    </row>
    <row r="271">
      <c r="A271" s="136"/>
      <c r="B271" s="136"/>
      <c r="C271" s="136"/>
    </row>
    <row r="272">
      <c r="A272" s="136"/>
      <c r="B272" s="136"/>
      <c r="C272" s="136"/>
    </row>
    <row r="273">
      <c r="A273" s="136"/>
      <c r="B273" s="136"/>
      <c r="C273" s="136"/>
    </row>
    <row r="274">
      <c r="A274" s="136"/>
      <c r="B274" s="136"/>
      <c r="C274" s="136"/>
    </row>
    <row r="275">
      <c r="A275" s="136"/>
      <c r="B275" s="136"/>
      <c r="C275" s="136"/>
    </row>
    <row r="276">
      <c r="A276" s="136"/>
      <c r="B276" s="136"/>
      <c r="C276" s="136"/>
    </row>
    <row r="277">
      <c r="A277" s="136"/>
      <c r="B277" s="136"/>
      <c r="C277" s="136"/>
    </row>
    <row r="278">
      <c r="A278" s="136"/>
      <c r="B278" s="136"/>
      <c r="C278" s="136"/>
    </row>
    <row r="279">
      <c r="A279" s="136"/>
      <c r="B279" s="136"/>
      <c r="C279" s="136"/>
    </row>
    <row r="280">
      <c r="A280" s="136"/>
      <c r="B280" s="136"/>
      <c r="C280" s="136"/>
    </row>
    <row r="281">
      <c r="A281" s="136"/>
      <c r="B281" s="136"/>
      <c r="C281" s="136"/>
    </row>
    <row r="282">
      <c r="A282" s="136"/>
      <c r="B282" s="136"/>
      <c r="C282" s="136"/>
    </row>
    <row r="283">
      <c r="A283" s="136"/>
      <c r="B283" s="136"/>
      <c r="C283" s="136"/>
    </row>
    <row r="284">
      <c r="A284" s="136"/>
      <c r="B284" s="136"/>
      <c r="C284" s="136"/>
    </row>
    <row r="285">
      <c r="A285" s="136"/>
      <c r="B285" s="136"/>
      <c r="C285" s="136"/>
    </row>
    <row r="286">
      <c r="A286" s="136"/>
      <c r="B286" s="136"/>
      <c r="C286" s="136"/>
    </row>
    <row r="287">
      <c r="A287" s="136"/>
      <c r="B287" s="136"/>
      <c r="C287" s="136"/>
    </row>
    <row r="288">
      <c r="A288" s="136"/>
      <c r="B288" s="136"/>
      <c r="C288" s="136"/>
    </row>
    <row r="289">
      <c r="A289" s="136"/>
      <c r="B289" s="136"/>
      <c r="C289" s="136"/>
    </row>
    <row r="290">
      <c r="A290" s="136"/>
      <c r="B290" s="136"/>
      <c r="C290" s="136"/>
    </row>
    <row r="291">
      <c r="A291" s="136"/>
      <c r="B291" s="136"/>
      <c r="C291" s="136"/>
    </row>
    <row r="292">
      <c r="A292" s="136"/>
      <c r="B292" s="136"/>
      <c r="C292" s="136"/>
    </row>
    <row r="293">
      <c r="A293" s="136"/>
      <c r="B293" s="136"/>
      <c r="C293" s="136"/>
    </row>
    <row r="294">
      <c r="A294" s="136"/>
      <c r="B294" s="136"/>
      <c r="C294" s="136"/>
    </row>
    <row r="295">
      <c r="A295" s="136"/>
      <c r="B295" s="136"/>
      <c r="C295" s="136"/>
    </row>
    <row r="296">
      <c r="A296" s="136"/>
      <c r="B296" s="136"/>
      <c r="C296" s="136"/>
    </row>
    <row r="297">
      <c r="A297" s="136"/>
      <c r="B297" s="136"/>
      <c r="C297" s="136"/>
    </row>
    <row r="298">
      <c r="A298" s="136"/>
      <c r="B298" s="136"/>
      <c r="C298" s="136"/>
    </row>
    <row r="299">
      <c r="A299" s="136"/>
      <c r="B299" s="136"/>
      <c r="C299" s="136"/>
    </row>
    <row r="300">
      <c r="A300" s="136"/>
      <c r="B300" s="136"/>
      <c r="C300" s="136"/>
    </row>
    <row r="301">
      <c r="A301" s="136"/>
      <c r="B301" s="136"/>
      <c r="C301" s="136"/>
    </row>
    <row r="302">
      <c r="A302" s="136"/>
      <c r="B302" s="136"/>
      <c r="C302" s="136"/>
    </row>
    <row r="303">
      <c r="A303" s="136"/>
      <c r="B303" s="136"/>
      <c r="C303" s="136"/>
    </row>
    <row r="304">
      <c r="A304" s="136"/>
      <c r="B304" s="136"/>
      <c r="C304" s="136"/>
    </row>
    <row r="305">
      <c r="A305" s="136"/>
      <c r="B305" s="136"/>
      <c r="C305" s="136"/>
    </row>
    <row r="306">
      <c r="A306" s="136"/>
      <c r="B306" s="136"/>
      <c r="C306" s="136"/>
    </row>
    <row r="307">
      <c r="A307" s="136"/>
      <c r="B307" s="136"/>
      <c r="C307" s="136"/>
    </row>
    <row r="308">
      <c r="A308" s="136"/>
      <c r="B308" s="136"/>
      <c r="C308" s="136"/>
    </row>
    <row r="309">
      <c r="A309" s="136"/>
      <c r="B309" s="136"/>
      <c r="C309" s="136"/>
    </row>
    <row r="310">
      <c r="A310" s="136"/>
      <c r="B310" s="136"/>
      <c r="C310" s="136"/>
    </row>
    <row r="311">
      <c r="A311" s="136"/>
      <c r="B311" s="136"/>
      <c r="C311" s="136"/>
    </row>
    <row r="312">
      <c r="A312" s="136"/>
      <c r="B312" s="136"/>
      <c r="C312" s="136"/>
    </row>
    <row r="313">
      <c r="A313" s="136"/>
      <c r="B313" s="136"/>
      <c r="C313" s="136"/>
    </row>
    <row r="314">
      <c r="A314" s="136"/>
      <c r="B314" s="136"/>
      <c r="C314" s="136"/>
    </row>
    <row r="315">
      <c r="A315" s="136"/>
      <c r="B315" s="136"/>
      <c r="C315" s="136"/>
    </row>
    <row r="316">
      <c r="A316" s="136"/>
      <c r="B316" s="136"/>
      <c r="C316" s="136"/>
    </row>
    <row r="317">
      <c r="A317" s="136"/>
      <c r="B317" s="136"/>
      <c r="C317" s="136"/>
    </row>
    <row r="318">
      <c r="A318" s="136"/>
      <c r="B318" s="136"/>
      <c r="C318" s="136"/>
    </row>
    <row r="319">
      <c r="A319" s="136"/>
      <c r="B319" s="136"/>
      <c r="C319" s="136"/>
    </row>
    <row r="320">
      <c r="A320" s="136"/>
      <c r="B320" s="136"/>
      <c r="C320" s="136"/>
    </row>
    <row r="321">
      <c r="A321" s="136"/>
      <c r="B321" s="136"/>
      <c r="C321" s="136"/>
    </row>
    <row r="322">
      <c r="A322" s="136"/>
      <c r="B322" s="136"/>
      <c r="C322" s="136"/>
    </row>
    <row r="323">
      <c r="A323" s="136"/>
      <c r="B323" s="136"/>
      <c r="C323" s="136"/>
    </row>
    <row r="324">
      <c r="A324" s="136"/>
      <c r="B324" s="136"/>
      <c r="C324" s="136"/>
    </row>
    <row r="325">
      <c r="A325" s="136"/>
      <c r="B325" s="136"/>
      <c r="C325" s="136"/>
    </row>
    <row r="326">
      <c r="A326" s="136"/>
      <c r="B326" s="136"/>
      <c r="C326" s="136"/>
    </row>
    <row r="327">
      <c r="A327" s="136"/>
      <c r="B327" s="136"/>
      <c r="C327" s="136"/>
    </row>
    <row r="328">
      <c r="A328" s="136"/>
      <c r="B328" s="136"/>
      <c r="C328" s="136"/>
    </row>
    <row r="329">
      <c r="A329" s="136"/>
      <c r="B329" s="136"/>
      <c r="C329" s="136"/>
    </row>
    <row r="330">
      <c r="A330" s="136"/>
      <c r="B330" s="136"/>
      <c r="C330" s="136"/>
    </row>
    <row r="331">
      <c r="A331" s="136"/>
      <c r="B331" s="136"/>
      <c r="C331" s="136"/>
    </row>
    <row r="332">
      <c r="A332" s="136"/>
      <c r="B332" s="136"/>
      <c r="C332" s="136"/>
    </row>
    <row r="333">
      <c r="A333" s="136"/>
      <c r="B333" s="136"/>
      <c r="C333" s="136"/>
    </row>
    <row r="334">
      <c r="A334" s="136"/>
      <c r="B334" s="136"/>
      <c r="C334" s="136"/>
    </row>
    <row r="335">
      <c r="A335" s="136"/>
      <c r="B335" s="136"/>
      <c r="C335" s="136"/>
    </row>
    <row r="336">
      <c r="A336" s="136"/>
      <c r="B336" s="136"/>
      <c r="C336" s="136"/>
    </row>
    <row r="337">
      <c r="A337" s="136"/>
      <c r="B337" s="136"/>
      <c r="C337" s="136"/>
    </row>
    <row r="338">
      <c r="A338" s="136"/>
      <c r="B338" s="136"/>
      <c r="C338" s="136"/>
    </row>
    <row r="339">
      <c r="A339" s="136"/>
      <c r="B339" s="136"/>
      <c r="C339" s="136"/>
    </row>
    <row r="340">
      <c r="A340" s="136"/>
      <c r="B340" s="136"/>
      <c r="C340" s="136"/>
    </row>
    <row r="341">
      <c r="A341" s="136"/>
      <c r="B341" s="136"/>
      <c r="C341" s="136"/>
    </row>
    <row r="342">
      <c r="A342" s="136"/>
      <c r="B342" s="136"/>
      <c r="C342" s="136"/>
    </row>
    <row r="343">
      <c r="A343" s="136"/>
      <c r="B343" s="136"/>
      <c r="C343" s="136"/>
    </row>
    <row r="344">
      <c r="A344" s="136"/>
      <c r="B344" s="136"/>
      <c r="C344" s="136"/>
    </row>
    <row r="345">
      <c r="A345" s="136"/>
      <c r="B345" s="136"/>
      <c r="C345" s="136"/>
    </row>
    <row r="346">
      <c r="A346" s="136"/>
      <c r="B346" s="136"/>
      <c r="C346" s="136"/>
    </row>
    <row r="347">
      <c r="A347" s="136"/>
      <c r="B347" s="136"/>
      <c r="C347" s="136"/>
    </row>
    <row r="348">
      <c r="A348" s="136"/>
      <c r="B348" s="136"/>
      <c r="C348" s="136"/>
    </row>
    <row r="349">
      <c r="A349" s="136"/>
      <c r="B349" s="136"/>
      <c r="C349" s="136"/>
    </row>
    <row r="350">
      <c r="A350" s="136"/>
      <c r="B350" s="136"/>
      <c r="C350" s="136"/>
    </row>
    <row r="351">
      <c r="A351" s="136"/>
      <c r="B351" s="136"/>
      <c r="C351" s="136"/>
    </row>
    <row r="352">
      <c r="A352" s="136"/>
      <c r="B352" s="136"/>
      <c r="C352" s="136"/>
    </row>
    <row r="353">
      <c r="A353" s="136"/>
      <c r="B353" s="136"/>
      <c r="C353" s="136"/>
    </row>
    <row r="354">
      <c r="A354" s="136"/>
      <c r="B354" s="136"/>
      <c r="C354" s="136"/>
    </row>
    <row r="355">
      <c r="A355" s="136"/>
      <c r="B355" s="136"/>
      <c r="C355" s="136"/>
    </row>
    <row r="356">
      <c r="A356" s="136"/>
      <c r="B356" s="136"/>
      <c r="C356" s="136"/>
    </row>
    <row r="357">
      <c r="A357" s="136"/>
      <c r="B357" s="136"/>
      <c r="C357" s="136"/>
    </row>
    <row r="358">
      <c r="A358" s="136"/>
      <c r="B358" s="136"/>
      <c r="C358" s="136"/>
    </row>
    <row r="359">
      <c r="A359" s="136"/>
      <c r="B359" s="136"/>
      <c r="C359" s="136"/>
    </row>
    <row r="360">
      <c r="A360" s="136"/>
      <c r="B360" s="136"/>
      <c r="C360" s="136"/>
    </row>
    <row r="361">
      <c r="A361" s="136"/>
      <c r="B361" s="136"/>
      <c r="C361" s="136"/>
    </row>
    <row r="362">
      <c r="A362" s="136"/>
      <c r="B362" s="136"/>
      <c r="C362" s="136"/>
    </row>
    <row r="363">
      <c r="A363" s="136"/>
      <c r="B363" s="136"/>
      <c r="C363" s="136"/>
    </row>
    <row r="364">
      <c r="A364" s="136"/>
      <c r="B364" s="136"/>
      <c r="C364" s="136"/>
    </row>
    <row r="365">
      <c r="A365" s="136"/>
      <c r="B365" s="136"/>
      <c r="C365" s="136"/>
    </row>
    <row r="366">
      <c r="A366" s="136"/>
      <c r="B366" s="136"/>
      <c r="C366" s="136"/>
    </row>
    <row r="367">
      <c r="A367" s="136"/>
      <c r="B367" s="136"/>
      <c r="C367" s="136"/>
    </row>
    <row r="368">
      <c r="A368" s="136"/>
      <c r="B368" s="136"/>
      <c r="C368" s="136"/>
    </row>
    <row r="369">
      <c r="A369" s="136"/>
      <c r="B369" s="136"/>
      <c r="C369" s="136"/>
    </row>
    <row r="370">
      <c r="A370" s="136"/>
      <c r="B370" s="136"/>
      <c r="C370" s="136"/>
    </row>
    <row r="371">
      <c r="A371" s="136"/>
      <c r="B371" s="136"/>
      <c r="C371" s="136"/>
    </row>
    <row r="372">
      <c r="A372" s="136"/>
      <c r="B372" s="136"/>
      <c r="C372" s="136"/>
    </row>
    <row r="373">
      <c r="A373" s="136"/>
      <c r="B373" s="136"/>
      <c r="C373" s="136"/>
    </row>
    <row r="374">
      <c r="A374" s="136"/>
      <c r="B374" s="136"/>
      <c r="C374" s="136"/>
    </row>
    <row r="375">
      <c r="A375" s="136"/>
      <c r="B375" s="136"/>
      <c r="C375" s="136"/>
    </row>
    <row r="376">
      <c r="A376" s="136"/>
      <c r="B376" s="136"/>
      <c r="C376" s="136"/>
    </row>
    <row r="377">
      <c r="A377" s="136"/>
      <c r="B377" s="136"/>
      <c r="C377" s="136"/>
    </row>
    <row r="378">
      <c r="A378" s="136"/>
      <c r="B378" s="136"/>
      <c r="C378" s="136"/>
    </row>
    <row r="379">
      <c r="A379" s="136"/>
      <c r="B379" s="136"/>
      <c r="C379" s="136"/>
    </row>
    <row r="380">
      <c r="A380" s="136"/>
      <c r="B380" s="136"/>
      <c r="C380" s="136"/>
    </row>
    <row r="381">
      <c r="A381" s="136"/>
      <c r="B381" s="136"/>
      <c r="C381" s="136"/>
    </row>
    <row r="382">
      <c r="A382" s="136"/>
      <c r="B382" s="136"/>
      <c r="C382" s="136"/>
    </row>
    <row r="383">
      <c r="A383" s="136"/>
      <c r="B383" s="136"/>
      <c r="C383" s="136"/>
    </row>
    <row r="384">
      <c r="A384" s="136"/>
      <c r="B384" s="136"/>
      <c r="C384" s="136"/>
    </row>
    <row r="385">
      <c r="A385" s="136"/>
      <c r="B385" s="136"/>
      <c r="C385" s="136"/>
    </row>
    <row r="386">
      <c r="A386" s="136"/>
      <c r="B386" s="136"/>
      <c r="C386" s="136"/>
    </row>
    <row r="387">
      <c r="A387" s="136"/>
      <c r="B387" s="136"/>
      <c r="C387" s="136"/>
    </row>
    <row r="388">
      <c r="A388" s="136"/>
      <c r="B388" s="136"/>
      <c r="C388" s="136"/>
    </row>
    <row r="389">
      <c r="A389" s="136"/>
      <c r="B389" s="136"/>
      <c r="C389" s="136"/>
    </row>
    <row r="390">
      <c r="A390" s="136"/>
      <c r="B390" s="136"/>
      <c r="C390" s="136"/>
    </row>
    <row r="391">
      <c r="A391" s="136"/>
      <c r="B391" s="136"/>
      <c r="C391" s="136"/>
    </row>
    <row r="392">
      <c r="A392" s="136"/>
      <c r="B392" s="136"/>
      <c r="C392" s="136"/>
    </row>
    <row r="393">
      <c r="A393" s="136"/>
      <c r="B393" s="136"/>
      <c r="C393" s="136"/>
    </row>
    <row r="394">
      <c r="A394" s="136"/>
      <c r="B394" s="136"/>
      <c r="C394" s="136"/>
    </row>
    <row r="395">
      <c r="A395" s="136"/>
      <c r="B395" s="136"/>
      <c r="C395" s="136"/>
    </row>
    <row r="396">
      <c r="A396" s="136"/>
      <c r="B396" s="136"/>
      <c r="C396" s="136"/>
    </row>
    <row r="397">
      <c r="A397" s="136"/>
      <c r="B397" s="136"/>
      <c r="C397" s="136"/>
    </row>
    <row r="398">
      <c r="A398" s="136"/>
      <c r="B398" s="136"/>
      <c r="C398" s="136"/>
    </row>
    <row r="399">
      <c r="A399" s="136"/>
      <c r="B399" s="136"/>
      <c r="C399" s="136"/>
    </row>
    <row r="400">
      <c r="A400" s="136"/>
      <c r="B400" s="136"/>
      <c r="C400" s="136"/>
    </row>
    <row r="401">
      <c r="A401" s="136"/>
      <c r="B401" s="136"/>
      <c r="C401" s="136"/>
    </row>
    <row r="402">
      <c r="A402" s="136"/>
      <c r="B402" s="136"/>
      <c r="C402" s="136"/>
    </row>
    <row r="403">
      <c r="A403" s="136"/>
      <c r="B403" s="136"/>
      <c r="C403" s="136"/>
    </row>
    <row r="404">
      <c r="A404" s="136"/>
      <c r="B404" s="136"/>
      <c r="C404" s="136"/>
    </row>
    <row r="405">
      <c r="A405" s="136"/>
      <c r="B405" s="136"/>
      <c r="C405" s="136"/>
    </row>
    <row r="406">
      <c r="A406" s="136"/>
      <c r="B406" s="136"/>
      <c r="C406" s="136"/>
    </row>
    <row r="407">
      <c r="A407" s="136"/>
      <c r="B407" s="136"/>
      <c r="C407" s="136"/>
    </row>
    <row r="408">
      <c r="A408" s="136"/>
      <c r="B408" s="136"/>
      <c r="C408" s="136"/>
    </row>
    <row r="409">
      <c r="A409" s="136"/>
      <c r="B409" s="136"/>
      <c r="C409" s="136"/>
    </row>
    <row r="410">
      <c r="A410" s="136"/>
      <c r="B410" s="136"/>
      <c r="C410" s="136"/>
    </row>
    <row r="411">
      <c r="A411" s="136"/>
      <c r="B411" s="136"/>
      <c r="C411" s="136"/>
    </row>
    <row r="412">
      <c r="A412" s="136"/>
      <c r="B412" s="136"/>
      <c r="C412" s="136"/>
    </row>
    <row r="413">
      <c r="A413" s="136"/>
      <c r="B413" s="136"/>
      <c r="C413" s="136"/>
    </row>
    <row r="414">
      <c r="A414" s="136"/>
      <c r="B414" s="136"/>
      <c r="C414" s="136"/>
    </row>
    <row r="415">
      <c r="A415" s="136"/>
      <c r="B415" s="136"/>
      <c r="C415" s="136"/>
    </row>
    <row r="416">
      <c r="A416" s="136"/>
      <c r="B416" s="136"/>
      <c r="C416" s="136"/>
    </row>
    <row r="417">
      <c r="A417" s="136"/>
      <c r="B417" s="136"/>
      <c r="C417" s="136"/>
    </row>
    <row r="418">
      <c r="A418" s="136"/>
      <c r="B418" s="136"/>
      <c r="C418" s="136"/>
    </row>
    <row r="419">
      <c r="A419" s="136"/>
      <c r="B419" s="136"/>
      <c r="C419" s="136"/>
    </row>
    <row r="420">
      <c r="A420" s="136"/>
      <c r="B420" s="136"/>
      <c r="C420" s="136"/>
    </row>
    <row r="421">
      <c r="A421" s="136"/>
      <c r="B421" s="136"/>
      <c r="C421" s="136"/>
    </row>
    <row r="422">
      <c r="A422" s="136"/>
      <c r="B422" s="136"/>
      <c r="C422" s="136"/>
    </row>
    <row r="423">
      <c r="A423" s="136"/>
      <c r="B423" s="136"/>
      <c r="C423" s="136"/>
    </row>
    <row r="424">
      <c r="A424" s="136"/>
      <c r="B424" s="136"/>
      <c r="C424" s="136"/>
    </row>
    <row r="425">
      <c r="A425" s="136"/>
      <c r="B425" s="136"/>
      <c r="C425" s="136"/>
    </row>
    <row r="426">
      <c r="A426" s="136"/>
      <c r="B426" s="136"/>
      <c r="C426" s="136"/>
    </row>
    <row r="427">
      <c r="A427" s="136"/>
      <c r="B427" s="136"/>
      <c r="C427" s="136"/>
    </row>
    <row r="428">
      <c r="A428" s="136"/>
      <c r="B428" s="136"/>
      <c r="C428" s="136"/>
    </row>
    <row r="429">
      <c r="A429" s="136"/>
      <c r="B429" s="136"/>
      <c r="C429" s="136"/>
    </row>
    <row r="430">
      <c r="A430" s="136"/>
      <c r="B430" s="136"/>
      <c r="C430" s="136"/>
    </row>
    <row r="431">
      <c r="A431" s="136"/>
      <c r="B431" s="136"/>
      <c r="C431" s="136"/>
    </row>
    <row r="432">
      <c r="A432" s="136"/>
      <c r="B432" s="136"/>
      <c r="C432" s="136"/>
    </row>
    <row r="433">
      <c r="A433" s="136"/>
      <c r="B433" s="136"/>
      <c r="C433" s="136"/>
    </row>
    <row r="434">
      <c r="A434" s="136"/>
      <c r="B434" s="136"/>
      <c r="C434" s="136"/>
    </row>
    <row r="435">
      <c r="A435" s="136"/>
      <c r="B435" s="136"/>
      <c r="C435" s="136"/>
    </row>
    <row r="436">
      <c r="A436" s="136"/>
      <c r="B436" s="136"/>
      <c r="C436" s="136"/>
    </row>
    <row r="437">
      <c r="A437" s="136"/>
      <c r="B437" s="136"/>
      <c r="C437" s="136"/>
    </row>
    <row r="438">
      <c r="A438" s="136"/>
      <c r="B438" s="136"/>
      <c r="C438" s="136"/>
    </row>
    <row r="439">
      <c r="A439" s="136"/>
      <c r="B439" s="136"/>
      <c r="C439" s="136"/>
    </row>
    <row r="440">
      <c r="A440" s="136"/>
      <c r="B440" s="136"/>
      <c r="C440" s="136"/>
    </row>
    <row r="441">
      <c r="A441" s="136"/>
      <c r="B441" s="136"/>
      <c r="C441" s="136"/>
    </row>
    <row r="442">
      <c r="A442" s="136"/>
      <c r="B442" s="136"/>
      <c r="C442" s="136"/>
    </row>
    <row r="443">
      <c r="A443" s="136"/>
      <c r="B443" s="136"/>
      <c r="C443" s="136"/>
    </row>
    <row r="444">
      <c r="A444" s="136"/>
      <c r="B444" s="136"/>
      <c r="C444" s="136"/>
    </row>
    <row r="445">
      <c r="A445" s="136"/>
      <c r="B445" s="136"/>
      <c r="C445" s="136"/>
    </row>
    <row r="446">
      <c r="A446" s="136"/>
      <c r="B446" s="136"/>
      <c r="C446" s="136"/>
    </row>
    <row r="447">
      <c r="A447" s="136"/>
      <c r="B447" s="136"/>
      <c r="C447" s="136"/>
    </row>
    <row r="448">
      <c r="A448" s="136"/>
      <c r="B448" s="136"/>
      <c r="C448" s="136"/>
    </row>
    <row r="449">
      <c r="A449" s="136"/>
      <c r="B449" s="136"/>
      <c r="C449" s="136"/>
    </row>
    <row r="450">
      <c r="A450" s="136"/>
      <c r="B450" s="136"/>
      <c r="C450" s="136"/>
    </row>
    <row r="451">
      <c r="A451" s="136"/>
      <c r="B451" s="136"/>
      <c r="C451" s="136"/>
    </row>
    <row r="452">
      <c r="A452" s="136"/>
      <c r="B452" s="136"/>
      <c r="C452" s="136"/>
    </row>
    <row r="453">
      <c r="A453" s="136"/>
      <c r="B453" s="136"/>
      <c r="C453" s="136"/>
    </row>
    <row r="454">
      <c r="A454" s="136"/>
      <c r="B454" s="136"/>
      <c r="C454" s="136"/>
    </row>
    <row r="455">
      <c r="A455" s="136"/>
      <c r="B455" s="136"/>
      <c r="C455" s="136"/>
    </row>
    <row r="456">
      <c r="A456" s="136"/>
      <c r="B456" s="136"/>
      <c r="C456" s="136"/>
    </row>
    <row r="457">
      <c r="A457" s="136"/>
      <c r="B457" s="136"/>
      <c r="C457" s="136"/>
    </row>
    <row r="458">
      <c r="A458" s="136"/>
      <c r="B458" s="136"/>
      <c r="C458" s="136"/>
    </row>
    <row r="459">
      <c r="A459" s="136"/>
      <c r="B459" s="136"/>
      <c r="C459" s="136"/>
    </row>
    <row r="460">
      <c r="A460" s="136"/>
      <c r="B460" s="136"/>
      <c r="C460" s="136"/>
    </row>
    <row r="461">
      <c r="A461" s="136"/>
      <c r="B461" s="136"/>
      <c r="C461" s="136"/>
    </row>
    <row r="462">
      <c r="A462" s="136"/>
      <c r="B462" s="136"/>
      <c r="C462" s="136"/>
    </row>
    <row r="463">
      <c r="A463" s="136"/>
      <c r="B463" s="136"/>
      <c r="C463" s="136"/>
    </row>
    <row r="464">
      <c r="A464" s="136"/>
      <c r="B464" s="136"/>
      <c r="C464" s="136"/>
    </row>
    <row r="465">
      <c r="A465" s="136"/>
      <c r="B465" s="136"/>
      <c r="C465" s="136"/>
    </row>
    <row r="466">
      <c r="A466" s="136"/>
      <c r="B466" s="136"/>
      <c r="C466" s="136"/>
    </row>
    <row r="467">
      <c r="A467" s="136"/>
      <c r="B467" s="136"/>
      <c r="C467" s="136"/>
    </row>
    <row r="468">
      <c r="A468" s="136"/>
      <c r="B468" s="136"/>
      <c r="C468" s="136"/>
    </row>
    <row r="469">
      <c r="A469" s="136"/>
      <c r="B469" s="136"/>
      <c r="C469" s="136"/>
    </row>
    <row r="470">
      <c r="A470" s="136"/>
      <c r="B470" s="136"/>
      <c r="C470" s="136"/>
    </row>
    <row r="471">
      <c r="A471" s="136"/>
      <c r="B471" s="136"/>
      <c r="C471" s="136"/>
    </row>
    <row r="472">
      <c r="A472" s="136"/>
      <c r="B472" s="136"/>
      <c r="C472" s="136"/>
    </row>
    <row r="473">
      <c r="A473" s="136"/>
      <c r="B473" s="136"/>
      <c r="C473" s="136"/>
    </row>
    <row r="474">
      <c r="A474" s="136"/>
      <c r="B474" s="136"/>
      <c r="C474" s="136"/>
    </row>
    <row r="475">
      <c r="A475" s="136"/>
      <c r="B475" s="136"/>
      <c r="C475" s="136"/>
    </row>
    <row r="476">
      <c r="A476" s="136"/>
      <c r="B476" s="136"/>
      <c r="C476" s="136"/>
    </row>
    <row r="477">
      <c r="A477" s="136"/>
      <c r="B477" s="136"/>
      <c r="C477" s="136"/>
    </row>
    <row r="478">
      <c r="A478" s="136"/>
      <c r="B478" s="136"/>
      <c r="C478" s="136"/>
    </row>
    <row r="479">
      <c r="A479" s="136"/>
      <c r="B479" s="136"/>
      <c r="C479" s="136"/>
    </row>
    <row r="480">
      <c r="A480" s="136"/>
      <c r="B480" s="136"/>
      <c r="C480" s="136"/>
    </row>
    <row r="481">
      <c r="A481" s="136"/>
      <c r="B481" s="136"/>
      <c r="C481" s="136"/>
    </row>
    <row r="482">
      <c r="A482" s="136"/>
      <c r="B482" s="136"/>
      <c r="C482" s="136"/>
    </row>
    <row r="483">
      <c r="A483" s="136"/>
      <c r="B483" s="136"/>
      <c r="C483" s="136"/>
    </row>
    <row r="484">
      <c r="A484" s="136"/>
      <c r="B484" s="136"/>
      <c r="C484" s="136"/>
    </row>
    <row r="485">
      <c r="A485" s="136"/>
      <c r="B485" s="136"/>
      <c r="C485" s="136"/>
    </row>
    <row r="486">
      <c r="A486" s="136"/>
      <c r="B486" s="136"/>
      <c r="C486" s="136"/>
    </row>
    <row r="487">
      <c r="A487" s="136"/>
      <c r="B487" s="136"/>
      <c r="C487" s="136"/>
    </row>
    <row r="488">
      <c r="A488" s="136"/>
      <c r="B488" s="136"/>
      <c r="C488" s="136"/>
    </row>
    <row r="489">
      <c r="A489" s="136"/>
      <c r="B489" s="136"/>
      <c r="C489" s="136"/>
    </row>
    <row r="490">
      <c r="A490" s="136"/>
      <c r="B490" s="136"/>
      <c r="C490" s="136"/>
    </row>
    <row r="491">
      <c r="A491" s="136"/>
      <c r="B491" s="136"/>
      <c r="C491" s="136"/>
    </row>
    <row r="492">
      <c r="A492" s="136"/>
      <c r="B492" s="136"/>
      <c r="C492" s="136"/>
    </row>
    <row r="493">
      <c r="A493" s="136"/>
      <c r="B493" s="136"/>
      <c r="C493" s="136"/>
    </row>
    <row r="494">
      <c r="A494" s="136"/>
      <c r="B494" s="136"/>
      <c r="C494" s="136"/>
    </row>
    <row r="495">
      <c r="A495" s="136"/>
      <c r="B495" s="136"/>
      <c r="C495" s="136"/>
    </row>
    <row r="496">
      <c r="A496" s="136"/>
      <c r="B496" s="136"/>
      <c r="C496" s="136"/>
    </row>
    <row r="497">
      <c r="A497" s="136"/>
      <c r="B497" s="136"/>
      <c r="C497" s="136"/>
    </row>
    <row r="498">
      <c r="A498" s="136"/>
      <c r="B498" s="136"/>
      <c r="C498" s="136"/>
    </row>
    <row r="499">
      <c r="A499" s="136"/>
      <c r="B499" s="136"/>
      <c r="C499" s="136"/>
    </row>
    <row r="500">
      <c r="A500" s="136"/>
      <c r="B500" s="136"/>
      <c r="C500" s="136"/>
    </row>
    <row r="501">
      <c r="A501" s="136"/>
      <c r="B501" s="136"/>
      <c r="C501" s="136"/>
    </row>
    <row r="502">
      <c r="A502" s="136"/>
      <c r="B502" s="136"/>
      <c r="C502" s="136"/>
    </row>
    <row r="503">
      <c r="A503" s="136"/>
      <c r="B503" s="136"/>
      <c r="C503" s="136"/>
    </row>
    <row r="504">
      <c r="A504" s="136"/>
      <c r="B504" s="136"/>
      <c r="C504" s="136"/>
    </row>
    <row r="505">
      <c r="A505" s="136"/>
      <c r="B505" s="136"/>
      <c r="C505" s="136"/>
    </row>
    <row r="506">
      <c r="A506" s="136"/>
      <c r="B506" s="136"/>
      <c r="C506" s="136"/>
    </row>
    <row r="507">
      <c r="A507" s="136"/>
      <c r="B507" s="136"/>
      <c r="C507" s="136"/>
    </row>
    <row r="508">
      <c r="A508" s="136"/>
      <c r="B508" s="136"/>
      <c r="C508" s="136"/>
    </row>
    <row r="509">
      <c r="A509" s="136"/>
      <c r="B509" s="136"/>
      <c r="C509" s="136"/>
    </row>
    <row r="510">
      <c r="A510" s="136"/>
      <c r="B510" s="136"/>
      <c r="C510" s="136"/>
    </row>
    <row r="511">
      <c r="A511" s="136"/>
      <c r="B511" s="136"/>
      <c r="C511" s="136"/>
    </row>
    <row r="512">
      <c r="A512" s="136"/>
      <c r="B512" s="136"/>
      <c r="C512" s="136"/>
    </row>
    <row r="513">
      <c r="A513" s="136"/>
      <c r="B513" s="136"/>
      <c r="C513" s="136"/>
    </row>
    <row r="514">
      <c r="A514" s="136"/>
      <c r="B514" s="136"/>
      <c r="C514" s="136"/>
    </row>
    <row r="515">
      <c r="A515" s="136"/>
      <c r="B515" s="136"/>
      <c r="C515" s="136"/>
    </row>
    <row r="516">
      <c r="A516" s="136"/>
      <c r="B516" s="136"/>
      <c r="C516" s="136"/>
    </row>
    <row r="517">
      <c r="A517" s="136"/>
      <c r="B517" s="136"/>
      <c r="C517" s="136"/>
    </row>
    <row r="518">
      <c r="A518" s="136"/>
      <c r="B518" s="136"/>
      <c r="C518" s="136"/>
    </row>
    <row r="519">
      <c r="A519" s="136"/>
      <c r="B519" s="136"/>
      <c r="C519" s="136"/>
    </row>
    <row r="520">
      <c r="A520" s="136"/>
      <c r="B520" s="136"/>
      <c r="C520" s="136"/>
    </row>
    <row r="521">
      <c r="A521" s="136"/>
      <c r="B521" s="136"/>
      <c r="C521" s="136"/>
    </row>
    <row r="522">
      <c r="A522" s="136"/>
      <c r="B522" s="136"/>
      <c r="C522" s="136"/>
    </row>
    <row r="523">
      <c r="A523" s="136"/>
      <c r="B523" s="136"/>
      <c r="C523" s="136"/>
    </row>
    <row r="524">
      <c r="A524" s="136"/>
      <c r="B524" s="136"/>
      <c r="C524" s="136"/>
    </row>
    <row r="525">
      <c r="A525" s="136"/>
      <c r="B525" s="136"/>
      <c r="C525" s="136"/>
    </row>
    <row r="526">
      <c r="A526" s="136"/>
      <c r="B526" s="136"/>
      <c r="C526" s="136"/>
    </row>
    <row r="527">
      <c r="A527" s="136"/>
      <c r="B527" s="136"/>
      <c r="C527" s="136"/>
    </row>
    <row r="528">
      <c r="A528" s="136"/>
      <c r="B528" s="136"/>
      <c r="C528" s="136"/>
    </row>
    <row r="529">
      <c r="A529" s="136"/>
      <c r="B529" s="136"/>
      <c r="C529" s="136"/>
    </row>
    <row r="530">
      <c r="A530" s="136"/>
      <c r="B530" s="136"/>
      <c r="C530" s="136"/>
    </row>
    <row r="531">
      <c r="A531" s="136"/>
      <c r="B531" s="136"/>
      <c r="C531" s="136"/>
    </row>
    <row r="532">
      <c r="A532" s="136"/>
      <c r="B532" s="136"/>
      <c r="C532" s="136"/>
    </row>
    <row r="533">
      <c r="A533" s="136"/>
      <c r="B533" s="136"/>
      <c r="C533" s="136"/>
    </row>
    <row r="534">
      <c r="A534" s="136"/>
      <c r="B534" s="136"/>
      <c r="C534" s="136"/>
    </row>
    <row r="535">
      <c r="A535" s="136"/>
      <c r="B535" s="136"/>
      <c r="C535" s="136"/>
    </row>
    <row r="536">
      <c r="A536" s="136"/>
      <c r="B536" s="136"/>
      <c r="C536" s="136"/>
    </row>
    <row r="537">
      <c r="A537" s="136"/>
      <c r="B537" s="136"/>
      <c r="C537" s="136"/>
    </row>
    <row r="538">
      <c r="A538" s="136"/>
      <c r="B538" s="136"/>
      <c r="C538" s="136"/>
    </row>
    <row r="539">
      <c r="A539" s="136"/>
      <c r="B539" s="136"/>
      <c r="C539" s="136"/>
    </row>
    <row r="540">
      <c r="A540" s="136"/>
      <c r="B540" s="136"/>
      <c r="C540" s="136"/>
    </row>
    <row r="541">
      <c r="A541" s="136"/>
      <c r="B541" s="136"/>
      <c r="C541" s="136"/>
    </row>
    <row r="542">
      <c r="A542" s="136"/>
      <c r="B542" s="136"/>
      <c r="C542" s="136"/>
    </row>
    <row r="543">
      <c r="A543" s="136"/>
      <c r="B543" s="136"/>
      <c r="C543" s="136"/>
    </row>
    <row r="544">
      <c r="A544" s="136"/>
      <c r="B544" s="136"/>
      <c r="C544" s="136"/>
    </row>
    <row r="545">
      <c r="A545" s="136"/>
      <c r="B545" s="136"/>
      <c r="C545" s="136"/>
    </row>
    <row r="546">
      <c r="A546" s="136"/>
      <c r="B546" s="136"/>
      <c r="C546" s="136"/>
    </row>
    <row r="547">
      <c r="A547" s="136"/>
      <c r="B547" s="136"/>
      <c r="C547" s="136"/>
    </row>
    <row r="548">
      <c r="A548" s="136"/>
      <c r="B548" s="136"/>
      <c r="C548" s="136"/>
    </row>
    <row r="549">
      <c r="A549" s="136"/>
      <c r="B549" s="136"/>
      <c r="C549" s="136"/>
    </row>
    <row r="550">
      <c r="A550" s="136"/>
      <c r="B550" s="136"/>
      <c r="C550" s="136"/>
    </row>
    <row r="551">
      <c r="A551" s="136"/>
      <c r="B551" s="136"/>
      <c r="C551" s="136"/>
    </row>
    <row r="552">
      <c r="A552" s="136"/>
      <c r="B552" s="136"/>
      <c r="C552" s="136"/>
    </row>
    <row r="553">
      <c r="A553" s="136"/>
      <c r="B553" s="136"/>
      <c r="C553" s="136"/>
    </row>
    <row r="554">
      <c r="A554" s="136"/>
      <c r="B554" s="136"/>
      <c r="C554" s="136"/>
    </row>
    <row r="555">
      <c r="A555" s="136"/>
      <c r="B555" s="136"/>
      <c r="C555" s="136"/>
    </row>
    <row r="556">
      <c r="A556" s="136"/>
      <c r="B556" s="136"/>
      <c r="C556" s="136"/>
    </row>
    <row r="557">
      <c r="A557" s="136"/>
      <c r="B557" s="136"/>
      <c r="C557" s="136"/>
    </row>
    <row r="558">
      <c r="A558" s="136"/>
      <c r="B558" s="136"/>
      <c r="C558" s="136"/>
    </row>
    <row r="559">
      <c r="A559" s="136"/>
      <c r="B559" s="136"/>
      <c r="C559" s="136"/>
    </row>
    <row r="560">
      <c r="A560" s="136"/>
      <c r="B560" s="136"/>
      <c r="C560" s="136"/>
    </row>
    <row r="561">
      <c r="A561" s="136"/>
      <c r="B561" s="136"/>
      <c r="C561" s="136"/>
    </row>
    <row r="562">
      <c r="A562" s="136"/>
      <c r="B562" s="136"/>
      <c r="C562" s="136"/>
    </row>
    <row r="563">
      <c r="A563" s="136"/>
      <c r="B563" s="136"/>
      <c r="C563" s="136"/>
    </row>
    <row r="564">
      <c r="A564" s="136"/>
      <c r="B564" s="136"/>
      <c r="C564" s="136"/>
    </row>
    <row r="565">
      <c r="A565" s="136"/>
      <c r="B565" s="136"/>
      <c r="C565" s="136"/>
    </row>
    <row r="566">
      <c r="A566" s="136"/>
      <c r="B566" s="136"/>
      <c r="C566" s="136"/>
    </row>
    <row r="567">
      <c r="A567" s="136"/>
      <c r="B567" s="136"/>
      <c r="C567" s="136"/>
    </row>
    <row r="568">
      <c r="A568" s="136"/>
      <c r="B568" s="136"/>
      <c r="C568" s="136"/>
    </row>
    <row r="569">
      <c r="A569" s="136"/>
      <c r="B569" s="136"/>
      <c r="C569" s="136"/>
    </row>
    <row r="570">
      <c r="A570" s="136"/>
      <c r="B570" s="136"/>
      <c r="C570" s="136"/>
    </row>
    <row r="571">
      <c r="A571" s="136"/>
      <c r="B571" s="136"/>
      <c r="C571" s="136"/>
    </row>
    <row r="572">
      <c r="A572" s="136"/>
      <c r="B572" s="136"/>
      <c r="C572" s="136"/>
    </row>
    <row r="573">
      <c r="A573" s="136"/>
      <c r="B573" s="136"/>
      <c r="C573" s="136"/>
    </row>
    <row r="574">
      <c r="A574" s="136"/>
      <c r="B574" s="136"/>
      <c r="C574" s="136"/>
    </row>
    <row r="575">
      <c r="A575" s="136"/>
      <c r="B575" s="136"/>
      <c r="C575" s="136"/>
    </row>
    <row r="576">
      <c r="A576" s="136"/>
      <c r="B576" s="136"/>
      <c r="C576" s="136"/>
    </row>
    <row r="577">
      <c r="A577" s="136"/>
      <c r="B577" s="136"/>
      <c r="C577" s="136"/>
    </row>
    <row r="578">
      <c r="A578" s="136"/>
      <c r="B578" s="136"/>
      <c r="C578" s="136"/>
    </row>
    <row r="579">
      <c r="A579" s="136"/>
      <c r="B579" s="136"/>
      <c r="C579" s="136"/>
    </row>
    <row r="580">
      <c r="A580" s="136"/>
      <c r="B580" s="136"/>
      <c r="C580" s="136"/>
    </row>
    <row r="581">
      <c r="A581" s="136"/>
      <c r="B581" s="136"/>
      <c r="C581" s="136"/>
    </row>
    <row r="582">
      <c r="A582" s="136"/>
      <c r="B582" s="136"/>
      <c r="C582" s="136"/>
    </row>
    <row r="583">
      <c r="A583" s="136"/>
      <c r="B583" s="136"/>
      <c r="C583" s="136"/>
    </row>
    <row r="584">
      <c r="A584" s="136"/>
      <c r="B584" s="136"/>
      <c r="C584" s="136"/>
    </row>
    <row r="585">
      <c r="A585" s="136"/>
      <c r="B585" s="136"/>
      <c r="C585" s="136"/>
    </row>
    <row r="586">
      <c r="A586" s="136"/>
      <c r="B586" s="136"/>
      <c r="C586" s="136"/>
    </row>
    <row r="587">
      <c r="A587" s="136"/>
      <c r="B587" s="136"/>
      <c r="C587" s="136"/>
    </row>
    <row r="588">
      <c r="A588" s="136"/>
      <c r="B588" s="136"/>
      <c r="C588" s="136"/>
    </row>
    <row r="589">
      <c r="A589" s="136"/>
      <c r="B589" s="136"/>
      <c r="C589" s="136"/>
    </row>
    <row r="590">
      <c r="A590" s="136"/>
      <c r="B590" s="136"/>
      <c r="C590" s="136"/>
    </row>
    <row r="591">
      <c r="A591" s="136"/>
      <c r="B591" s="136"/>
      <c r="C591" s="136"/>
    </row>
    <row r="592">
      <c r="A592" s="136"/>
      <c r="B592" s="136"/>
      <c r="C592" s="136"/>
    </row>
    <row r="593">
      <c r="A593" s="136"/>
      <c r="B593" s="136"/>
      <c r="C593" s="136"/>
    </row>
    <row r="594">
      <c r="A594" s="136"/>
      <c r="B594" s="136"/>
      <c r="C594" s="136"/>
    </row>
    <row r="595">
      <c r="A595" s="136"/>
      <c r="B595" s="136"/>
      <c r="C595" s="136"/>
    </row>
    <row r="596">
      <c r="A596" s="136"/>
      <c r="B596" s="136"/>
      <c r="C596" s="136"/>
    </row>
    <row r="597">
      <c r="A597" s="136"/>
      <c r="B597" s="136"/>
      <c r="C597" s="136"/>
    </row>
    <row r="598">
      <c r="A598" s="136"/>
      <c r="B598" s="136"/>
      <c r="C598" s="136"/>
    </row>
    <row r="599">
      <c r="A599" s="136"/>
      <c r="B599" s="136"/>
      <c r="C599" s="136"/>
    </row>
    <row r="600">
      <c r="A600" s="136"/>
      <c r="B600" s="136"/>
      <c r="C600" s="136"/>
    </row>
    <row r="601">
      <c r="A601" s="136"/>
      <c r="B601" s="136"/>
      <c r="C601" s="136"/>
    </row>
    <row r="602">
      <c r="A602" s="136"/>
      <c r="B602" s="136"/>
      <c r="C602" s="136"/>
    </row>
    <row r="603">
      <c r="A603" s="136"/>
      <c r="B603" s="136"/>
      <c r="C603" s="136"/>
    </row>
    <row r="604">
      <c r="A604" s="136"/>
      <c r="B604" s="136"/>
      <c r="C604" s="136"/>
    </row>
    <row r="605">
      <c r="A605" s="136"/>
      <c r="B605" s="136"/>
      <c r="C605" s="136"/>
    </row>
    <row r="606">
      <c r="A606" s="136"/>
      <c r="B606" s="136"/>
      <c r="C606" s="136"/>
    </row>
    <row r="607">
      <c r="A607" s="136"/>
      <c r="B607" s="136"/>
      <c r="C607" s="136"/>
    </row>
    <row r="608">
      <c r="A608" s="136"/>
      <c r="B608" s="136"/>
      <c r="C608" s="136"/>
    </row>
    <row r="609">
      <c r="A609" s="136"/>
      <c r="B609" s="136"/>
      <c r="C609" s="136"/>
    </row>
    <row r="610">
      <c r="A610" s="136"/>
      <c r="B610" s="136"/>
      <c r="C610" s="136"/>
    </row>
    <row r="611">
      <c r="A611" s="136"/>
      <c r="B611" s="136"/>
      <c r="C611" s="136"/>
    </row>
    <row r="612">
      <c r="A612" s="136"/>
      <c r="B612" s="136"/>
      <c r="C612" s="136"/>
    </row>
    <row r="613">
      <c r="A613" s="136"/>
      <c r="B613" s="136"/>
      <c r="C613" s="136"/>
    </row>
    <row r="614">
      <c r="A614" s="136"/>
      <c r="B614" s="136"/>
      <c r="C614" s="136"/>
    </row>
    <row r="615">
      <c r="A615" s="136"/>
      <c r="B615" s="136"/>
      <c r="C615" s="136"/>
    </row>
    <row r="616">
      <c r="A616" s="136"/>
      <c r="B616" s="136"/>
      <c r="C616" s="136"/>
    </row>
    <row r="617">
      <c r="A617" s="136"/>
      <c r="B617" s="136"/>
      <c r="C617" s="136"/>
    </row>
    <row r="618">
      <c r="A618" s="136"/>
      <c r="B618" s="136"/>
      <c r="C618" s="136"/>
    </row>
    <row r="619">
      <c r="A619" s="136"/>
      <c r="B619" s="136"/>
      <c r="C619" s="136"/>
    </row>
    <row r="620">
      <c r="A620" s="136"/>
      <c r="B620" s="136"/>
      <c r="C620" s="136"/>
    </row>
    <row r="621">
      <c r="A621" s="136"/>
      <c r="B621" s="136"/>
      <c r="C621" s="136"/>
    </row>
    <row r="622">
      <c r="A622" s="136"/>
      <c r="B622" s="136"/>
      <c r="C622" s="136"/>
    </row>
    <row r="623">
      <c r="A623" s="136"/>
      <c r="B623" s="136"/>
      <c r="C623" s="136"/>
    </row>
    <row r="624">
      <c r="A624" s="136"/>
      <c r="B624" s="136"/>
      <c r="C624" s="136"/>
    </row>
    <row r="625">
      <c r="A625" s="136"/>
      <c r="B625" s="136"/>
      <c r="C625" s="136"/>
    </row>
    <row r="626">
      <c r="A626" s="136"/>
      <c r="B626" s="136"/>
      <c r="C626" s="136"/>
    </row>
    <row r="627">
      <c r="A627" s="136"/>
      <c r="B627" s="136"/>
      <c r="C627" s="136"/>
    </row>
    <row r="628">
      <c r="A628" s="136"/>
      <c r="B628" s="136"/>
      <c r="C628" s="136"/>
    </row>
    <row r="629">
      <c r="A629" s="136"/>
      <c r="B629" s="136"/>
      <c r="C629" s="136"/>
    </row>
    <row r="630">
      <c r="A630" s="136"/>
      <c r="B630" s="136"/>
      <c r="C630" s="136"/>
    </row>
    <row r="631">
      <c r="A631" s="136"/>
      <c r="B631" s="136"/>
      <c r="C631" s="136"/>
    </row>
    <row r="632">
      <c r="A632" s="136"/>
      <c r="B632" s="136"/>
      <c r="C632" s="136"/>
    </row>
    <row r="633">
      <c r="A633" s="136"/>
      <c r="B633" s="136"/>
      <c r="C633" s="136"/>
    </row>
    <row r="634">
      <c r="A634" s="136"/>
      <c r="B634" s="136"/>
      <c r="C634" s="136"/>
    </row>
    <row r="635">
      <c r="A635" s="136"/>
      <c r="B635" s="136"/>
      <c r="C635" s="136"/>
    </row>
    <row r="636">
      <c r="A636" s="136"/>
      <c r="B636" s="136"/>
      <c r="C636" s="136"/>
    </row>
    <row r="637">
      <c r="A637" s="136"/>
      <c r="B637" s="136"/>
      <c r="C637" s="136"/>
    </row>
    <row r="638">
      <c r="A638" s="136"/>
      <c r="B638" s="136"/>
      <c r="C638" s="136"/>
    </row>
    <row r="639">
      <c r="A639" s="136"/>
      <c r="B639" s="136"/>
      <c r="C639" s="136"/>
    </row>
    <row r="640">
      <c r="A640" s="136"/>
      <c r="B640" s="136"/>
      <c r="C640" s="136"/>
    </row>
    <row r="641">
      <c r="A641" s="136"/>
      <c r="B641" s="136"/>
      <c r="C641" s="136"/>
    </row>
    <row r="642">
      <c r="A642" s="136"/>
      <c r="B642" s="136"/>
      <c r="C642" s="136"/>
    </row>
    <row r="643">
      <c r="A643" s="136"/>
      <c r="B643" s="136"/>
      <c r="C643" s="136"/>
    </row>
    <row r="644">
      <c r="A644" s="136"/>
      <c r="B644" s="136"/>
      <c r="C644" s="136"/>
    </row>
    <row r="645">
      <c r="A645" s="136"/>
      <c r="B645" s="136"/>
      <c r="C645" s="136"/>
    </row>
    <row r="646">
      <c r="A646" s="136"/>
      <c r="B646" s="136"/>
      <c r="C646" s="136"/>
    </row>
    <row r="647">
      <c r="A647" s="136"/>
      <c r="B647" s="136"/>
      <c r="C647" s="136"/>
    </row>
    <row r="648">
      <c r="A648" s="136"/>
      <c r="B648" s="136"/>
      <c r="C648" s="136"/>
    </row>
    <row r="649">
      <c r="A649" s="136"/>
      <c r="B649" s="136"/>
      <c r="C649" s="136"/>
    </row>
    <row r="650">
      <c r="A650" s="136"/>
      <c r="B650" s="136"/>
      <c r="C650" s="136"/>
    </row>
    <row r="651">
      <c r="A651" s="136"/>
      <c r="B651" s="136"/>
      <c r="C651" s="136"/>
    </row>
    <row r="652">
      <c r="A652" s="136"/>
      <c r="B652" s="136"/>
      <c r="C652" s="136"/>
    </row>
    <row r="653">
      <c r="A653" s="136"/>
      <c r="B653" s="136"/>
      <c r="C653" s="136"/>
    </row>
    <row r="654">
      <c r="A654" s="136"/>
      <c r="B654" s="136"/>
      <c r="C654" s="136"/>
    </row>
    <row r="655">
      <c r="A655" s="136"/>
      <c r="B655" s="136"/>
      <c r="C655" s="136"/>
    </row>
    <row r="656">
      <c r="A656" s="136"/>
      <c r="B656" s="136"/>
      <c r="C656" s="136"/>
    </row>
    <row r="657">
      <c r="A657" s="136"/>
      <c r="B657" s="136"/>
      <c r="C657" s="136"/>
    </row>
    <row r="658">
      <c r="A658" s="136"/>
      <c r="B658" s="136"/>
      <c r="C658" s="136"/>
    </row>
    <row r="659">
      <c r="A659" s="136"/>
      <c r="B659" s="136"/>
      <c r="C659" s="136"/>
    </row>
    <row r="660">
      <c r="A660" s="136"/>
      <c r="B660" s="136"/>
      <c r="C660" s="136"/>
    </row>
    <row r="661">
      <c r="A661" s="136"/>
      <c r="B661" s="136"/>
      <c r="C661" s="136"/>
    </row>
    <row r="662">
      <c r="A662" s="136"/>
      <c r="B662" s="136"/>
      <c r="C662" s="136"/>
    </row>
    <row r="663">
      <c r="A663" s="136"/>
      <c r="B663" s="136"/>
      <c r="C663" s="136"/>
    </row>
    <row r="664">
      <c r="A664" s="136"/>
      <c r="B664" s="136"/>
      <c r="C664" s="136"/>
    </row>
    <row r="665">
      <c r="A665" s="136"/>
      <c r="B665" s="136"/>
      <c r="C665" s="136"/>
    </row>
    <row r="666">
      <c r="A666" s="136"/>
      <c r="B666" s="136"/>
      <c r="C666" s="136"/>
    </row>
    <row r="667">
      <c r="A667" s="136"/>
      <c r="B667" s="136"/>
      <c r="C667" s="136"/>
    </row>
    <row r="668">
      <c r="A668" s="136"/>
      <c r="B668" s="136"/>
      <c r="C668" s="136"/>
    </row>
    <row r="669">
      <c r="A669" s="136"/>
      <c r="B669" s="136"/>
      <c r="C669" s="136"/>
    </row>
    <row r="670">
      <c r="A670" s="136"/>
      <c r="B670" s="136"/>
      <c r="C670" s="136"/>
    </row>
    <row r="671">
      <c r="A671" s="136"/>
      <c r="B671" s="136"/>
      <c r="C671" s="136"/>
    </row>
    <row r="672">
      <c r="A672" s="136"/>
      <c r="B672" s="136"/>
      <c r="C672" s="136"/>
    </row>
    <row r="673">
      <c r="A673" s="136"/>
      <c r="B673" s="136"/>
      <c r="C673" s="136"/>
    </row>
    <row r="674">
      <c r="A674" s="136"/>
      <c r="B674" s="136"/>
      <c r="C674" s="136"/>
    </row>
    <row r="675">
      <c r="A675" s="136"/>
      <c r="B675" s="136"/>
      <c r="C675" s="136"/>
    </row>
    <row r="676">
      <c r="A676" s="136"/>
      <c r="B676" s="136"/>
      <c r="C676" s="136"/>
    </row>
    <row r="677">
      <c r="A677" s="136"/>
      <c r="B677" s="136"/>
      <c r="C677" s="136"/>
    </row>
    <row r="678">
      <c r="A678" s="136"/>
      <c r="B678" s="136"/>
      <c r="C678" s="136"/>
    </row>
    <row r="679">
      <c r="A679" s="136"/>
      <c r="B679" s="136"/>
      <c r="C679" s="136"/>
    </row>
    <row r="680">
      <c r="A680" s="136"/>
      <c r="B680" s="136"/>
      <c r="C680" s="136"/>
    </row>
    <row r="681">
      <c r="A681" s="136"/>
      <c r="B681" s="136"/>
      <c r="C681" s="136"/>
    </row>
    <row r="682">
      <c r="A682" s="136"/>
      <c r="B682" s="136"/>
      <c r="C682" s="136"/>
    </row>
    <row r="683">
      <c r="A683" s="136"/>
      <c r="B683" s="136"/>
      <c r="C683" s="136"/>
    </row>
    <row r="684">
      <c r="A684" s="136"/>
      <c r="B684" s="136"/>
      <c r="C684" s="136"/>
    </row>
    <row r="685">
      <c r="A685" s="136"/>
      <c r="B685" s="136"/>
      <c r="C685" s="136"/>
    </row>
    <row r="686">
      <c r="A686" s="136"/>
      <c r="B686" s="136"/>
      <c r="C686" s="136"/>
    </row>
    <row r="687">
      <c r="A687" s="136"/>
      <c r="B687" s="136"/>
      <c r="C687" s="136"/>
    </row>
    <row r="688">
      <c r="A688" s="136"/>
      <c r="B688" s="136"/>
      <c r="C688" s="136"/>
    </row>
    <row r="689">
      <c r="A689" s="136"/>
      <c r="B689" s="136"/>
      <c r="C689" s="136"/>
    </row>
    <row r="690">
      <c r="A690" s="136"/>
      <c r="B690" s="136"/>
      <c r="C690" s="136"/>
    </row>
    <row r="691">
      <c r="A691" s="136"/>
      <c r="B691" s="136"/>
      <c r="C691" s="136"/>
    </row>
    <row r="692">
      <c r="A692" s="136"/>
      <c r="B692" s="136"/>
      <c r="C692" s="136"/>
    </row>
    <row r="693">
      <c r="A693" s="136"/>
      <c r="B693" s="136"/>
      <c r="C693" s="136"/>
    </row>
    <row r="694">
      <c r="A694" s="136"/>
      <c r="B694" s="136"/>
      <c r="C694" s="136"/>
    </row>
    <row r="695">
      <c r="A695" s="136"/>
      <c r="B695" s="136"/>
      <c r="C695" s="136"/>
    </row>
    <row r="696">
      <c r="A696" s="136"/>
      <c r="B696" s="136"/>
      <c r="C696" s="136"/>
    </row>
    <row r="697">
      <c r="A697" s="136"/>
      <c r="B697" s="136"/>
      <c r="C697" s="136"/>
    </row>
    <row r="698">
      <c r="A698" s="136"/>
      <c r="B698" s="136"/>
      <c r="C698" s="136"/>
    </row>
    <row r="699">
      <c r="A699" s="136"/>
      <c r="B699" s="136"/>
      <c r="C699" s="136"/>
    </row>
    <row r="700">
      <c r="A700" s="136"/>
      <c r="B700" s="136"/>
      <c r="C700" s="136"/>
    </row>
    <row r="701">
      <c r="A701" s="136"/>
      <c r="B701" s="136"/>
      <c r="C701" s="136"/>
    </row>
    <row r="702">
      <c r="A702" s="136"/>
      <c r="B702" s="136"/>
      <c r="C702" s="136"/>
    </row>
    <row r="703">
      <c r="A703" s="136"/>
      <c r="B703" s="136"/>
      <c r="C703" s="136"/>
    </row>
    <row r="704">
      <c r="A704" s="136"/>
      <c r="B704" s="136"/>
      <c r="C704" s="136"/>
    </row>
    <row r="705">
      <c r="A705" s="136"/>
      <c r="B705" s="136"/>
      <c r="C705" s="136"/>
    </row>
    <row r="706">
      <c r="A706" s="136"/>
      <c r="B706" s="136"/>
      <c r="C706" s="136"/>
    </row>
    <row r="707">
      <c r="A707" s="136"/>
      <c r="B707" s="136"/>
      <c r="C707" s="136"/>
    </row>
    <row r="708">
      <c r="A708" s="136"/>
      <c r="B708" s="136"/>
      <c r="C708" s="136"/>
    </row>
    <row r="709">
      <c r="A709" s="136"/>
      <c r="B709" s="136"/>
      <c r="C709" s="136"/>
    </row>
    <row r="710">
      <c r="A710" s="136"/>
      <c r="B710" s="136"/>
      <c r="C710" s="136"/>
    </row>
    <row r="711">
      <c r="A711" s="136"/>
      <c r="B711" s="136"/>
      <c r="C711" s="136"/>
    </row>
    <row r="712">
      <c r="A712" s="136"/>
      <c r="B712" s="136"/>
      <c r="C712" s="136"/>
    </row>
    <row r="713">
      <c r="A713" s="136"/>
      <c r="B713" s="136"/>
      <c r="C713" s="136"/>
    </row>
    <row r="714">
      <c r="A714" s="136"/>
      <c r="B714" s="136"/>
      <c r="C714" s="136"/>
    </row>
    <row r="715">
      <c r="A715" s="136"/>
      <c r="B715" s="136"/>
      <c r="C715" s="136"/>
    </row>
    <row r="716">
      <c r="A716" s="136"/>
      <c r="B716" s="136"/>
      <c r="C716" s="136"/>
    </row>
    <row r="717">
      <c r="A717" s="136"/>
      <c r="B717" s="136"/>
      <c r="C717" s="136"/>
    </row>
    <row r="718">
      <c r="A718" s="136"/>
      <c r="B718" s="136"/>
      <c r="C718" s="136"/>
    </row>
    <row r="719">
      <c r="A719" s="136"/>
      <c r="B719" s="136"/>
      <c r="C719" s="136"/>
    </row>
    <row r="720">
      <c r="A720" s="136"/>
      <c r="B720" s="136"/>
      <c r="C720" s="136"/>
    </row>
    <row r="721">
      <c r="A721" s="136"/>
      <c r="B721" s="136"/>
      <c r="C721" s="136"/>
    </row>
    <row r="722">
      <c r="A722" s="136"/>
      <c r="B722" s="136"/>
      <c r="C722" s="136"/>
    </row>
    <row r="723">
      <c r="A723" s="136"/>
      <c r="B723" s="136"/>
      <c r="C723" s="136"/>
    </row>
    <row r="724">
      <c r="A724" s="136"/>
      <c r="B724" s="136"/>
      <c r="C724" s="136"/>
    </row>
    <row r="725">
      <c r="A725" s="136"/>
      <c r="B725" s="136"/>
      <c r="C725" s="136"/>
    </row>
    <row r="726">
      <c r="A726" s="136"/>
      <c r="B726" s="136"/>
      <c r="C726" s="136"/>
    </row>
    <row r="727">
      <c r="A727" s="136"/>
      <c r="B727" s="136"/>
      <c r="C727" s="136"/>
    </row>
    <row r="728">
      <c r="A728" s="136"/>
      <c r="B728" s="136"/>
      <c r="C728" s="136"/>
    </row>
    <row r="729">
      <c r="A729" s="136"/>
      <c r="B729" s="136"/>
      <c r="C729" s="136"/>
    </row>
    <row r="730">
      <c r="A730" s="136"/>
      <c r="B730" s="136"/>
      <c r="C730" s="136"/>
    </row>
    <row r="731">
      <c r="A731" s="136"/>
      <c r="B731" s="136"/>
      <c r="C731" s="136"/>
    </row>
    <row r="732">
      <c r="A732" s="136"/>
      <c r="B732" s="136"/>
      <c r="C732" s="136"/>
    </row>
    <row r="733">
      <c r="A733" s="136"/>
      <c r="B733" s="136"/>
      <c r="C733" s="136"/>
    </row>
    <row r="734">
      <c r="A734" s="136"/>
      <c r="B734" s="136"/>
      <c r="C734" s="136"/>
    </row>
    <row r="735">
      <c r="A735" s="136"/>
      <c r="B735" s="136"/>
      <c r="C735" s="136"/>
    </row>
    <row r="736">
      <c r="A736" s="136"/>
      <c r="B736" s="136"/>
      <c r="C736" s="136"/>
    </row>
    <row r="737">
      <c r="A737" s="136"/>
      <c r="B737" s="136"/>
      <c r="C737" s="136"/>
    </row>
    <row r="738">
      <c r="A738" s="136"/>
      <c r="B738" s="136"/>
      <c r="C738" s="136"/>
    </row>
    <row r="739">
      <c r="A739" s="136"/>
      <c r="B739" s="136"/>
      <c r="C739" s="136"/>
    </row>
    <row r="740">
      <c r="A740" s="136"/>
      <c r="B740" s="136"/>
      <c r="C740" s="136"/>
    </row>
    <row r="741">
      <c r="A741" s="136"/>
      <c r="B741" s="136"/>
      <c r="C741" s="136"/>
    </row>
    <row r="742">
      <c r="A742" s="136"/>
      <c r="B742" s="136"/>
      <c r="C742" s="136"/>
    </row>
    <row r="743">
      <c r="A743" s="136"/>
      <c r="B743" s="136"/>
      <c r="C743" s="136"/>
    </row>
    <row r="744">
      <c r="A744" s="136"/>
      <c r="B744" s="136"/>
      <c r="C744" s="136"/>
    </row>
    <row r="745">
      <c r="A745" s="136"/>
      <c r="B745" s="136"/>
      <c r="C745" s="136"/>
    </row>
    <row r="746">
      <c r="A746" s="136"/>
      <c r="B746" s="136"/>
      <c r="C746" s="136"/>
    </row>
    <row r="747">
      <c r="A747" s="136"/>
      <c r="B747" s="136"/>
      <c r="C747" s="136"/>
    </row>
    <row r="748">
      <c r="A748" s="136"/>
      <c r="B748" s="136"/>
      <c r="C748" s="136"/>
    </row>
    <row r="749">
      <c r="A749" s="136"/>
      <c r="B749" s="136"/>
      <c r="C749" s="136"/>
    </row>
    <row r="750">
      <c r="A750" s="136"/>
      <c r="B750" s="136"/>
      <c r="C750" s="136"/>
    </row>
    <row r="751">
      <c r="A751" s="136"/>
      <c r="B751" s="136"/>
      <c r="C751" s="136"/>
    </row>
    <row r="752">
      <c r="A752" s="136"/>
      <c r="B752" s="136"/>
      <c r="C752" s="136"/>
    </row>
    <row r="753">
      <c r="A753" s="136"/>
      <c r="B753" s="136"/>
      <c r="C753" s="136"/>
    </row>
    <row r="754">
      <c r="A754" s="136"/>
      <c r="B754" s="136"/>
      <c r="C754" s="136"/>
    </row>
    <row r="755">
      <c r="A755" s="136"/>
      <c r="B755" s="136"/>
      <c r="C755" s="136"/>
    </row>
    <row r="756">
      <c r="A756" s="136"/>
      <c r="B756" s="136"/>
      <c r="C756" s="136"/>
    </row>
    <row r="757">
      <c r="A757" s="136"/>
      <c r="B757" s="136"/>
      <c r="C757" s="136"/>
    </row>
    <row r="758">
      <c r="A758" s="136"/>
      <c r="B758" s="136"/>
      <c r="C758" s="136"/>
    </row>
    <row r="759">
      <c r="A759" s="136"/>
      <c r="B759" s="136"/>
      <c r="C759" s="136"/>
    </row>
    <row r="760">
      <c r="A760" s="136"/>
      <c r="B760" s="136"/>
      <c r="C760" s="136"/>
    </row>
    <row r="761">
      <c r="A761" s="136"/>
      <c r="B761" s="136"/>
      <c r="C761" s="136"/>
    </row>
    <row r="762">
      <c r="A762" s="136"/>
      <c r="B762" s="136"/>
      <c r="C762" s="136"/>
    </row>
    <row r="763">
      <c r="A763" s="136"/>
      <c r="B763" s="136"/>
      <c r="C763" s="136"/>
    </row>
    <row r="764">
      <c r="A764" s="136"/>
      <c r="B764" s="136"/>
      <c r="C764" s="136"/>
    </row>
    <row r="765">
      <c r="A765" s="136"/>
      <c r="B765" s="136"/>
      <c r="C765" s="136"/>
    </row>
    <row r="766">
      <c r="A766" s="136"/>
      <c r="B766" s="136"/>
      <c r="C766" s="136"/>
    </row>
    <row r="767">
      <c r="A767" s="136"/>
      <c r="B767" s="136"/>
      <c r="C767" s="136"/>
    </row>
    <row r="768">
      <c r="A768" s="136"/>
      <c r="B768" s="136"/>
      <c r="C768" s="136"/>
    </row>
    <row r="769">
      <c r="A769" s="136"/>
      <c r="B769" s="136"/>
      <c r="C769" s="136"/>
    </row>
    <row r="770">
      <c r="A770" s="136"/>
      <c r="B770" s="136"/>
      <c r="C770" s="136"/>
    </row>
    <row r="771">
      <c r="A771" s="136"/>
      <c r="B771" s="136"/>
      <c r="C771" s="136"/>
    </row>
    <row r="772">
      <c r="A772" s="136"/>
      <c r="B772" s="136"/>
      <c r="C772" s="136"/>
    </row>
    <row r="773">
      <c r="A773" s="136"/>
      <c r="B773" s="136"/>
      <c r="C773" s="136"/>
    </row>
    <row r="774">
      <c r="A774" s="136"/>
      <c r="B774" s="136"/>
      <c r="C774" s="136"/>
    </row>
    <row r="775">
      <c r="A775" s="136"/>
      <c r="B775" s="136"/>
      <c r="C775" s="136"/>
    </row>
    <row r="776">
      <c r="A776" s="136"/>
      <c r="B776" s="136"/>
      <c r="C776" s="136"/>
    </row>
    <row r="777">
      <c r="A777" s="136"/>
      <c r="B777" s="136"/>
      <c r="C777" s="136"/>
    </row>
    <row r="778">
      <c r="A778" s="136"/>
      <c r="B778" s="136"/>
      <c r="C778" s="136"/>
    </row>
    <row r="779">
      <c r="A779" s="136"/>
      <c r="B779" s="136"/>
      <c r="C779" s="136"/>
    </row>
    <row r="780">
      <c r="A780" s="136"/>
      <c r="B780" s="136"/>
      <c r="C780" s="136"/>
    </row>
    <row r="781">
      <c r="A781" s="136"/>
      <c r="B781" s="136"/>
      <c r="C781" s="136"/>
    </row>
    <row r="782">
      <c r="A782" s="136"/>
      <c r="B782" s="136"/>
      <c r="C782" s="136"/>
    </row>
    <row r="783">
      <c r="A783" s="136"/>
      <c r="B783" s="136"/>
      <c r="C783" s="136"/>
    </row>
    <row r="784">
      <c r="A784" s="136"/>
      <c r="B784" s="136"/>
      <c r="C784" s="136"/>
    </row>
    <row r="785">
      <c r="A785" s="136"/>
      <c r="B785" s="136"/>
      <c r="C785" s="136"/>
    </row>
    <row r="786">
      <c r="A786" s="136"/>
      <c r="B786" s="136"/>
      <c r="C786" s="136"/>
    </row>
    <row r="787">
      <c r="A787" s="136"/>
      <c r="B787" s="136"/>
      <c r="C787" s="136"/>
    </row>
    <row r="788">
      <c r="A788" s="136"/>
      <c r="B788" s="136"/>
      <c r="C788" s="136"/>
    </row>
    <row r="789">
      <c r="A789" s="136"/>
      <c r="B789" s="136"/>
      <c r="C789" s="136"/>
    </row>
    <row r="790">
      <c r="A790" s="136"/>
      <c r="B790" s="136"/>
      <c r="C790" s="136"/>
    </row>
    <row r="791">
      <c r="A791" s="136"/>
      <c r="B791" s="136"/>
      <c r="C791" s="136"/>
    </row>
    <row r="792">
      <c r="A792" s="136"/>
      <c r="B792" s="136"/>
      <c r="C792" s="136"/>
    </row>
    <row r="793">
      <c r="A793" s="136"/>
      <c r="B793" s="136"/>
      <c r="C793" s="136"/>
    </row>
    <row r="794">
      <c r="A794" s="136"/>
      <c r="B794" s="136"/>
      <c r="C794" s="136"/>
    </row>
    <row r="795">
      <c r="A795" s="136"/>
      <c r="B795" s="136"/>
      <c r="C795" s="136"/>
    </row>
    <row r="796">
      <c r="A796" s="136"/>
      <c r="B796" s="136"/>
      <c r="C796" s="136"/>
    </row>
    <row r="797">
      <c r="A797" s="136"/>
      <c r="B797" s="136"/>
      <c r="C797" s="136"/>
    </row>
    <row r="798">
      <c r="A798" s="136"/>
      <c r="B798" s="136"/>
      <c r="C798" s="136"/>
    </row>
    <row r="799">
      <c r="A799" s="136"/>
      <c r="B799" s="136"/>
      <c r="C799" s="136"/>
    </row>
    <row r="800">
      <c r="A800" s="136"/>
      <c r="B800" s="136"/>
      <c r="C800" s="136"/>
    </row>
    <row r="801">
      <c r="A801" s="136"/>
      <c r="B801" s="136"/>
      <c r="C801" s="136"/>
    </row>
    <row r="802">
      <c r="A802" s="136"/>
      <c r="B802" s="136"/>
      <c r="C802" s="136"/>
    </row>
    <row r="803">
      <c r="A803" s="136"/>
      <c r="B803" s="136"/>
      <c r="C803" s="136"/>
    </row>
    <row r="804">
      <c r="A804" s="136"/>
      <c r="B804" s="136"/>
      <c r="C804" s="136"/>
    </row>
    <row r="805">
      <c r="A805" s="136"/>
      <c r="B805" s="136"/>
      <c r="C805" s="136"/>
    </row>
    <row r="806">
      <c r="A806" s="136"/>
      <c r="B806" s="136"/>
      <c r="C806" s="136"/>
    </row>
    <row r="807">
      <c r="A807" s="136"/>
      <c r="B807" s="136"/>
      <c r="C807" s="136"/>
    </row>
    <row r="808">
      <c r="A808" s="136"/>
      <c r="B808" s="136"/>
      <c r="C808" s="136"/>
    </row>
    <row r="809">
      <c r="A809" s="136"/>
      <c r="B809" s="136"/>
      <c r="C809" s="136"/>
    </row>
    <row r="810">
      <c r="A810" s="136"/>
      <c r="B810" s="136"/>
      <c r="C810" s="136"/>
    </row>
    <row r="811">
      <c r="A811" s="136"/>
      <c r="B811" s="136"/>
      <c r="C811" s="136"/>
    </row>
    <row r="812">
      <c r="A812" s="136"/>
      <c r="B812" s="136"/>
      <c r="C812" s="136"/>
    </row>
    <row r="813">
      <c r="A813" s="136"/>
      <c r="B813" s="136"/>
      <c r="C813" s="136"/>
    </row>
    <row r="814">
      <c r="A814" s="136"/>
      <c r="B814" s="136"/>
      <c r="C814" s="136"/>
    </row>
    <row r="815">
      <c r="A815" s="136"/>
      <c r="B815" s="136"/>
      <c r="C815" s="136"/>
    </row>
    <row r="816">
      <c r="A816" s="136"/>
      <c r="B816" s="136"/>
      <c r="C816" s="136"/>
    </row>
    <row r="817">
      <c r="A817" s="136"/>
      <c r="B817" s="136"/>
      <c r="C817" s="136"/>
    </row>
    <row r="818">
      <c r="A818" s="136"/>
      <c r="B818" s="136"/>
      <c r="C818" s="136"/>
    </row>
    <row r="819">
      <c r="A819" s="136"/>
      <c r="B819" s="136"/>
      <c r="C819" s="136"/>
    </row>
    <row r="820">
      <c r="A820" s="136"/>
      <c r="B820" s="136"/>
      <c r="C820" s="136"/>
    </row>
    <row r="821">
      <c r="A821" s="136"/>
      <c r="B821" s="136"/>
      <c r="C821" s="136"/>
    </row>
    <row r="822">
      <c r="A822" s="136"/>
      <c r="B822" s="136"/>
      <c r="C822" s="136"/>
    </row>
    <row r="823">
      <c r="A823" s="136"/>
      <c r="B823" s="136"/>
      <c r="C823" s="136"/>
    </row>
    <row r="824">
      <c r="A824" s="136"/>
      <c r="B824" s="136"/>
      <c r="C824" s="136"/>
    </row>
    <row r="825">
      <c r="A825" s="136"/>
      <c r="B825" s="136"/>
      <c r="C825" s="136"/>
    </row>
    <row r="826">
      <c r="A826" s="136"/>
      <c r="B826" s="136"/>
      <c r="C826" s="136"/>
    </row>
    <row r="827">
      <c r="A827" s="136"/>
      <c r="B827" s="136"/>
      <c r="C827" s="136"/>
    </row>
    <row r="828">
      <c r="A828" s="136"/>
      <c r="B828" s="136"/>
      <c r="C828" s="136"/>
    </row>
    <row r="829">
      <c r="A829" s="136"/>
      <c r="B829" s="136"/>
      <c r="C829" s="136"/>
    </row>
    <row r="830">
      <c r="A830" s="136"/>
      <c r="B830" s="136"/>
      <c r="C830" s="136"/>
    </row>
    <row r="831">
      <c r="A831" s="136"/>
      <c r="B831" s="136"/>
      <c r="C831" s="136"/>
    </row>
    <row r="832">
      <c r="A832" s="136"/>
      <c r="B832" s="136"/>
      <c r="C832" s="136"/>
    </row>
    <row r="833">
      <c r="A833" s="136"/>
      <c r="B833" s="136"/>
      <c r="C833" s="136"/>
    </row>
    <row r="834">
      <c r="A834" s="136"/>
      <c r="B834" s="136"/>
      <c r="C834" s="136"/>
    </row>
    <row r="835">
      <c r="A835" s="136"/>
      <c r="B835" s="136"/>
      <c r="C835" s="136"/>
    </row>
    <row r="836">
      <c r="A836" s="136"/>
      <c r="B836" s="136"/>
      <c r="C836" s="136"/>
    </row>
    <row r="837">
      <c r="A837" s="136"/>
      <c r="B837" s="136"/>
      <c r="C837" s="136"/>
    </row>
    <row r="838">
      <c r="A838" s="136"/>
      <c r="B838" s="136"/>
      <c r="C838" s="136"/>
    </row>
    <row r="839">
      <c r="A839" s="136"/>
      <c r="B839" s="136"/>
      <c r="C839" s="136"/>
    </row>
    <row r="840">
      <c r="A840" s="136"/>
      <c r="B840" s="136"/>
      <c r="C840" s="136"/>
    </row>
    <row r="841">
      <c r="A841" s="136"/>
      <c r="B841" s="136"/>
      <c r="C841" s="136"/>
    </row>
    <row r="842">
      <c r="A842" s="136"/>
      <c r="B842" s="136"/>
      <c r="C842" s="136"/>
    </row>
    <row r="843">
      <c r="A843" s="136"/>
      <c r="B843" s="136"/>
      <c r="C843" s="136"/>
    </row>
    <row r="844">
      <c r="A844" s="136"/>
      <c r="B844" s="136"/>
      <c r="C844" s="136"/>
    </row>
    <row r="845">
      <c r="A845" s="136"/>
      <c r="B845" s="136"/>
      <c r="C845" s="136"/>
    </row>
    <row r="846">
      <c r="A846" s="136"/>
      <c r="B846" s="136"/>
      <c r="C846" s="136"/>
    </row>
    <row r="847">
      <c r="A847" s="136"/>
      <c r="B847" s="136"/>
      <c r="C847" s="136"/>
    </row>
    <row r="848">
      <c r="A848" s="136"/>
      <c r="B848" s="136"/>
      <c r="C848" s="136"/>
    </row>
    <row r="849">
      <c r="A849" s="136"/>
      <c r="B849" s="136"/>
      <c r="C849" s="136"/>
    </row>
    <row r="850">
      <c r="A850" s="136"/>
      <c r="B850" s="136"/>
      <c r="C850" s="136"/>
    </row>
    <row r="851">
      <c r="A851" s="136"/>
      <c r="B851" s="136"/>
      <c r="C851" s="136"/>
    </row>
    <row r="852">
      <c r="A852" s="136"/>
      <c r="B852" s="136"/>
      <c r="C852" s="136"/>
    </row>
    <row r="853">
      <c r="A853" s="136"/>
      <c r="B853" s="136"/>
      <c r="C853" s="136"/>
    </row>
    <row r="854">
      <c r="A854" s="136"/>
      <c r="B854" s="136"/>
      <c r="C854" s="136"/>
    </row>
    <row r="855">
      <c r="A855" s="136"/>
      <c r="B855" s="136"/>
      <c r="C855" s="136"/>
    </row>
    <row r="856">
      <c r="A856" s="136"/>
      <c r="B856" s="136"/>
      <c r="C856" s="136"/>
    </row>
    <row r="857">
      <c r="A857" s="136"/>
      <c r="B857" s="136"/>
      <c r="C857" s="136"/>
    </row>
    <row r="858">
      <c r="A858" s="136"/>
      <c r="B858" s="136"/>
      <c r="C858" s="136"/>
    </row>
    <row r="859">
      <c r="A859" s="136"/>
      <c r="B859" s="136"/>
      <c r="C859" s="136"/>
    </row>
    <row r="860">
      <c r="A860" s="136"/>
      <c r="B860" s="136"/>
      <c r="C860" s="136"/>
    </row>
    <row r="861">
      <c r="A861" s="136"/>
      <c r="B861" s="136"/>
      <c r="C861" s="136"/>
    </row>
    <row r="862">
      <c r="A862" s="136"/>
      <c r="B862" s="136"/>
      <c r="C862" s="136"/>
    </row>
    <row r="863">
      <c r="A863" s="136"/>
      <c r="B863" s="136"/>
      <c r="C863" s="136"/>
    </row>
    <row r="864">
      <c r="A864" s="136"/>
      <c r="B864" s="136"/>
      <c r="C864" s="136"/>
    </row>
    <row r="865">
      <c r="A865" s="136"/>
      <c r="B865" s="136"/>
      <c r="C865" s="136"/>
    </row>
    <row r="866">
      <c r="A866" s="136"/>
      <c r="B866" s="136"/>
      <c r="C866" s="136"/>
    </row>
    <row r="867">
      <c r="A867" s="136"/>
      <c r="B867" s="136"/>
      <c r="C867" s="136"/>
    </row>
    <row r="868">
      <c r="A868" s="136"/>
      <c r="B868" s="136"/>
      <c r="C868" s="136"/>
    </row>
    <row r="869">
      <c r="A869" s="136"/>
      <c r="B869" s="136"/>
      <c r="C869" s="136"/>
    </row>
    <row r="870">
      <c r="A870" s="136"/>
      <c r="B870" s="136"/>
      <c r="C870" s="136"/>
    </row>
    <row r="871">
      <c r="A871" s="136"/>
      <c r="B871" s="136"/>
      <c r="C871" s="136"/>
    </row>
    <row r="872">
      <c r="A872" s="136"/>
      <c r="B872" s="136"/>
      <c r="C872" s="136"/>
    </row>
    <row r="873">
      <c r="A873" s="136"/>
      <c r="B873" s="136"/>
      <c r="C873" s="136"/>
    </row>
    <row r="874">
      <c r="A874" s="136"/>
      <c r="B874" s="136"/>
      <c r="C874" s="136"/>
    </row>
    <row r="875">
      <c r="A875" s="136"/>
      <c r="B875" s="136"/>
      <c r="C875" s="136"/>
    </row>
    <row r="876">
      <c r="A876" s="136"/>
      <c r="B876" s="136"/>
      <c r="C876" s="136"/>
    </row>
    <row r="877">
      <c r="A877" s="136"/>
      <c r="B877" s="136"/>
      <c r="C877" s="136"/>
    </row>
    <row r="878">
      <c r="A878" s="136"/>
      <c r="B878" s="136"/>
      <c r="C878" s="136"/>
    </row>
    <row r="879">
      <c r="A879" s="136"/>
      <c r="B879" s="136"/>
      <c r="C879" s="136"/>
    </row>
    <row r="880">
      <c r="A880" s="136"/>
      <c r="B880" s="136"/>
      <c r="C880" s="136"/>
    </row>
    <row r="881">
      <c r="A881" s="136"/>
      <c r="B881" s="136"/>
      <c r="C881" s="136"/>
    </row>
    <row r="882">
      <c r="A882" s="136"/>
      <c r="B882" s="136"/>
      <c r="C882" s="136"/>
    </row>
    <row r="883">
      <c r="A883" s="136"/>
      <c r="B883" s="136"/>
      <c r="C883" s="136"/>
    </row>
    <row r="884">
      <c r="A884" s="136"/>
      <c r="B884" s="136"/>
      <c r="C884" s="136"/>
    </row>
    <row r="885">
      <c r="A885" s="136"/>
      <c r="B885" s="136"/>
      <c r="C885" s="136"/>
    </row>
    <row r="886">
      <c r="A886" s="136"/>
      <c r="B886" s="136"/>
      <c r="C886" s="136"/>
    </row>
    <row r="887">
      <c r="A887" s="136"/>
      <c r="B887" s="136"/>
      <c r="C887" s="136"/>
    </row>
    <row r="888">
      <c r="A888" s="136"/>
      <c r="B888" s="136"/>
      <c r="C888" s="136"/>
    </row>
    <row r="889">
      <c r="A889" s="136"/>
      <c r="B889" s="136"/>
      <c r="C889" s="136"/>
    </row>
    <row r="890">
      <c r="A890" s="136"/>
      <c r="B890" s="136"/>
      <c r="C890" s="136"/>
    </row>
    <row r="891">
      <c r="A891" s="136"/>
      <c r="B891" s="136"/>
      <c r="C891" s="136"/>
    </row>
    <row r="892">
      <c r="A892" s="136"/>
      <c r="B892" s="136"/>
      <c r="C892" s="136"/>
    </row>
    <row r="893">
      <c r="A893" s="136"/>
      <c r="B893" s="136"/>
      <c r="C893" s="136"/>
    </row>
    <row r="894">
      <c r="A894" s="136"/>
      <c r="B894" s="136"/>
      <c r="C894" s="136"/>
    </row>
    <row r="895">
      <c r="A895" s="136"/>
      <c r="B895" s="136"/>
      <c r="C895" s="136"/>
    </row>
    <row r="896">
      <c r="A896" s="136"/>
      <c r="B896" s="136"/>
      <c r="C896" s="136"/>
    </row>
    <row r="897">
      <c r="A897" s="136"/>
      <c r="B897" s="136"/>
      <c r="C897" s="136"/>
    </row>
    <row r="898">
      <c r="A898" s="136"/>
      <c r="B898" s="136"/>
      <c r="C898" s="136"/>
    </row>
    <row r="899">
      <c r="A899" s="136"/>
      <c r="B899" s="136"/>
      <c r="C899" s="136"/>
    </row>
    <row r="900">
      <c r="A900" s="136"/>
      <c r="B900" s="136"/>
      <c r="C900" s="136"/>
    </row>
    <row r="901">
      <c r="A901" s="136"/>
      <c r="B901" s="136"/>
      <c r="C901" s="136"/>
    </row>
    <row r="902">
      <c r="A902" s="136"/>
      <c r="B902" s="136"/>
      <c r="C902" s="136"/>
    </row>
    <row r="903">
      <c r="A903" s="136"/>
      <c r="B903" s="136"/>
      <c r="C903" s="136"/>
    </row>
    <row r="904">
      <c r="A904" s="136"/>
      <c r="B904" s="136"/>
      <c r="C904" s="136"/>
    </row>
    <row r="905">
      <c r="A905" s="136"/>
      <c r="B905" s="136"/>
      <c r="C905" s="136"/>
    </row>
    <row r="906">
      <c r="A906" s="136"/>
      <c r="B906" s="136"/>
      <c r="C906" s="136"/>
    </row>
    <row r="907">
      <c r="A907" s="136"/>
      <c r="B907" s="136"/>
      <c r="C907" s="136"/>
    </row>
    <row r="908">
      <c r="A908" s="136"/>
      <c r="B908" s="136"/>
      <c r="C908" s="136"/>
    </row>
    <row r="909">
      <c r="A909" s="136"/>
      <c r="B909" s="136"/>
      <c r="C909" s="136"/>
    </row>
    <row r="910">
      <c r="A910" s="136"/>
      <c r="B910" s="136"/>
      <c r="C910" s="136"/>
    </row>
    <row r="911">
      <c r="A911" s="136"/>
      <c r="B911" s="136"/>
      <c r="C911" s="136"/>
    </row>
    <row r="912">
      <c r="A912" s="136"/>
      <c r="B912" s="136"/>
      <c r="C912" s="136"/>
    </row>
    <row r="913">
      <c r="A913" s="136"/>
      <c r="B913" s="136"/>
      <c r="C913" s="136"/>
    </row>
    <row r="914">
      <c r="A914" s="136"/>
      <c r="B914" s="136"/>
      <c r="C914" s="136"/>
    </row>
    <row r="915">
      <c r="A915" s="136"/>
      <c r="B915" s="136"/>
      <c r="C915" s="136"/>
    </row>
    <row r="916">
      <c r="A916" s="136"/>
      <c r="B916" s="136"/>
      <c r="C916" s="136"/>
    </row>
    <row r="917">
      <c r="A917" s="136"/>
      <c r="B917" s="136"/>
      <c r="C917" s="136"/>
    </row>
    <row r="918">
      <c r="A918" s="136"/>
      <c r="B918" s="136"/>
      <c r="C918" s="136"/>
    </row>
    <row r="919">
      <c r="A919" s="136"/>
      <c r="B919" s="136"/>
      <c r="C919" s="136"/>
    </row>
    <row r="920">
      <c r="A920" s="136"/>
      <c r="B920" s="136"/>
      <c r="C920" s="136"/>
    </row>
    <row r="921">
      <c r="A921" s="136"/>
      <c r="B921" s="136"/>
      <c r="C921" s="136"/>
    </row>
    <row r="922">
      <c r="A922" s="136"/>
      <c r="B922" s="136"/>
      <c r="C922" s="136"/>
    </row>
    <row r="923">
      <c r="A923" s="136"/>
      <c r="B923" s="136"/>
      <c r="C923" s="136"/>
    </row>
    <row r="924">
      <c r="A924" s="136"/>
      <c r="B924" s="136"/>
      <c r="C924" s="136"/>
    </row>
    <row r="925">
      <c r="A925" s="136"/>
      <c r="B925" s="136"/>
      <c r="C925" s="136"/>
    </row>
    <row r="926">
      <c r="A926" s="136"/>
      <c r="B926" s="136"/>
      <c r="C926" s="136"/>
    </row>
    <row r="927">
      <c r="A927" s="136"/>
      <c r="B927" s="136"/>
      <c r="C927" s="136"/>
    </row>
    <row r="928">
      <c r="A928" s="136"/>
      <c r="B928" s="136"/>
      <c r="C928" s="136"/>
    </row>
    <row r="929">
      <c r="A929" s="136"/>
      <c r="B929" s="136"/>
      <c r="C929" s="136"/>
    </row>
    <row r="930">
      <c r="A930" s="136"/>
      <c r="B930" s="136"/>
      <c r="C930" s="136"/>
    </row>
    <row r="931">
      <c r="A931" s="136"/>
      <c r="B931" s="136"/>
      <c r="C931" s="136"/>
    </row>
    <row r="932">
      <c r="A932" s="136"/>
      <c r="B932" s="136"/>
      <c r="C932" s="136"/>
    </row>
    <row r="933">
      <c r="A933" s="136"/>
      <c r="B933" s="136"/>
      <c r="C933" s="136"/>
    </row>
    <row r="934">
      <c r="A934" s="136"/>
      <c r="B934" s="136"/>
      <c r="C934" s="136"/>
    </row>
    <row r="935">
      <c r="A935" s="136"/>
      <c r="B935" s="136"/>
      <c r="C935" s="136"/>
    </row>
    <row r="936">
      <c r="A936" s="136"/>
      <c r="B936" s="136"/>
      <c r="C936" s="136"/>
    </row>
    <row r="937">
      <c r="A937" s="136"/>
      <c r="B937" s="136"/>
      <c r="C937" s="136"/>
    </row>
    <row r="938">
      <c r="A938" s="136"/>
      <c r="B938" s="136"/>
      <c r="C938" s="136"/>
    </row>
    <row r="939">
      <c r="A939" s="136"/>
      <c r="B939" s="136"/>
      <c r="C939" s="136"/>
    </row>
    <row r="940">
      <c r="A940" s="136"/>
      <c r="B940" s="136"/>
      <c r="C940" s="136"/>
    </row>
    <row r="941">
      <c r="A941" s="136"/>
      <c r="B941" s="136"/>
      <c r="C941" s="136"/>
    </row>
    <row r="942">
      <c r="A942" s="136"/>
      <c r="B942" s="136"/>
      <c r="C942" s="136"/>
    </row>
    <row r="943">
      <c r="A943" s="136"/>
      <c r="B943" s="136"/>
      <c r="C943" s="136"/>
    </row>
    <row r="944">
      <c r="A944" s="136"/>
      <c r="B944" s="136"/>
      <c r="C944" s="136"/>
    </row>
    <row r="945">
      <c r="A945" s="136"/>
      <c r="B945" s="136"/>
      <c r="C945" s="136"/>
    </row>
    <row r="946">
      <c r="A946" s="136"/>
      <c r="B946" s="136"/>
      <c r="C946" s="136"/>
    </row>
    <row r="947">
      <c r="A947" s="136"/>
      <c r="B947" s="136"/>
      <c r="C947" s="136"/>
    </row>
    <row r="948">
      <c r="A948" s="136"/>
      <c r="B948" s="136"/>
      <c r="C948" s="136"/>
    </row>
    <row r="949">
      <c r="A949" s="136"/>
      <c r="B949" s="136"/>
      <c r="C949" s="136"/>
    </row>
    <row r="950">
      <c r="A950" s="136"/>
      <c r="B950" s="136"/>
      <c r="C950" s="136"/>
    </row>
    <row r="951">
      <c r="A951" s="136"/>
      <c r="B951" s="136"/>
      <c r="C951" s="136"/>
    </row>
    <row r="952">
      <c r="A952" s="136"/>
      <c r="B952" s="136"/>
      <c r="C952" s="136"/>
    </row>
    <row r="953">
      <c r="A953" s="136"/>
      <c r="B953" s="136"/>
      <c r="C953" s="136"/>
    </row>
    <row r="954">
      <c r="A954" s="136"/>
      <c r="B954" s="136"/>
      <c r="C954" s="136"/>
    </row>
    <row r="955">
      <c r="A955" s="136"/>
      <c r="B955" s="136"/>
      <c r="C955" s="136"/>
    </row>
    <row r="956">
      <c r="A956" s="136"/>
      <c r="B956" s="136"/>
      <c r="C956" s="136"/>
    </row>
    <row r="957">
      <c r="A957" s="136"/>
      <c r="B957" s="136"/>
      <c r="C957" s="136"/>
    </row>
    <row r="958">
      <c r="A958" s="136"/>
      <c r="B958" s="136"/>
      <c r="C958" s="136"/>
    </row>
    <row r="959">
      <c r="A959" s="136"/>
      <c r="B959" s="136"/>
      <c r="C959" s="136"/>
    </row>
    <row r="960">
      <c r="A960" s="136"/>
      <c r="B960" s="136"/>
      <c r="C960" s="136"/>
    </row>
    <row r="961">
      <c r="A961" s="136"/>
      <c r="B961" s="136"/>
      <c r="C961" s="136"/>
    </row>
    <row r="962">
      <c r="A962" s="136"/>
      <c r="B962" s="136"/>
      <c r="C962" s="136"/>
    </row>
    <row r="963">
      <c r="A963" s="136"/>
      <c r="B963" s="136"/>
      <c r="C963" s="136"/>
    </row>
    <row r="964">
      <c r="A964" s="136"/>
      <c r="B964" s="136"/>
      <c r="C964" s="136"/>
    </row>
    <row r="965">
      <c r="A965" s="136"/>
      <c r="B965" s="136"/>
      <c r="C965" s="136"/>
    </row>
    <row r="966">
      <c r="A966" s="136"/>
      <c r="B966" s="136"/>
      <c r="C966" s="136"/>
    </row>
    <row r="967">
      <c r="A967" s="136"/>
      <c r="B967" s="136"/>
      <c r="C967" s="136"/>
    </row>
    <row r="968">
      <c r="A968" s="136"/>
      <c r="B968" s="136"/>
      <c r="C968" s="136"/>
    </row>
    <row r="969">
      <c r="A969" s="136"/>
      <c r="B969" s="136"/>
      <c r="C969" s="136"/>
    </row>
    <row r="970">
      <c r="A970" s="136"/>
      <c r="B970" s="136"/>
      <c r="C970" s="136"/>
    </row>
    <row r="971">
      <c r="A971" s="136"/>
      <c r="B971" s="136"/>
      <c r="C971" s="136"/>
    </row>
    <row r="972">
      <c r="A972" s="136"/>
      <c r="B972" s="136"/>
      <c r="C972" s="136"/>
    </row>
    <row r="973">
      <c r="A973" s="136"/>
      <c r="B973" s="136"/>
      <c r="C973" s="136"/>
    </row>
    <row r="974">
      <c r="A974" s="136"/>
      <c r="B974" s="136"/>
      <c r="C974" s="136"/>
    </row>
    <row r="975">
      <c r="A975" s="136"/>
      <c r="B975" s="136"/>
      <c r="C975" s="136"/>
    </row>
    <row r="976">
      <c r="A976" s="136"/>
      <c r="B976" s="136"/>
      <c r="C976" s="136"/>
    </row>
    <row r="977">
      <c r="A977" s="136"/>
      <c r="B977" s="136"/>
      <c r="C977" s="136"/>
    </row>
    <row r="978">
      <c r="A978" s="136"/>
      <c r="B978" s="136"/>
      <c r="C978" s="136"/>
    </row>
    <row r="979">
      <c r="A979" s="136"/>
      <c r="B979" s="136"/>
      <c r="C979" s="136"/>
    </row>
    <row r="980">
      <c r="A980" s="136"/>
      <c r="B980" s="136"/>
      <c r="C980" s="136"/>
    </row>
    <row r="981">
      <c r="A981" s="136"/>
      <c r="B981" s="136"/>
      <c r="C981" s="136"/>
    </row>
    <row r="982">
      <c r="A982" s="136"/>
      <c r="B982" s="136"/>
      <c r="C982" s="136"/>
    </row>
    <row r="983">
      <c r="A983" s="136"/>
      <c r="B983" s="136"/>
      <c r="C983" s="136"/>
    </row>
    <row r="984">
      <c r="A984" s="136"/>
      <c r="B984" s="136"/>
      <c r="C984" s="136"/>
    </row>
    <row r="985">
      <c r="A985" s="136"/>
      <c r="B985" s="136"/>
      <c r="C985" s="136"/>
    </row>
    <row r="986">
      <c r="A986" s="136"/>
      <c r="B986" s="136"/>
      <c r="C986" s="136"/>
    </row>
    <row r="987">
      <c r="A987" s="136"/>
      <c r="B987" s="136"/>
      <c r="C987" s="136"/>
    </row>
    <row r="988">
      <c r="A988" s="136"/>
      <c r="B988" s="136"/>
      <c r="C988" s="136"/>
    </row>
    <row r="989">
      <c r="A989" s="136"/>
      <c r="B989" s="136"/>
      <c r="C989" s="136"/>
    </row>
    <row r="990">
      <c r="A990" s="136"/>
      <c r="B990" s="136"/>
      <c r="C990" s="136"/>
    </row>
    <row r="991">
      <c r="A991" s="136"/>
      <c r="B991" s="136"/>
      <c r="C991" s="136"/>
    </row>
    <row r="992">
      <c r="A992" s="136"/>
      <c r="B992" s="136"/>
      <c r="C992" s="136"/>
    </row>
    <row r="993">
      <c r="A993" s="136"/>
      <c r="B993" s="136"/>
      <c r="C993" s="136"/>
    </row>
    <row r="994">
      <c r="A994" s="136"/>
      <c r="B994" s="136"/>
      <c r="C994" s="136"/>
    </row>
    <row r="995">
      <c r="A995" s="136"/>
      <c r="B995" s="136"/>
      <c r="C995" s="136"/>
    </row>
    <row r="996">
      <c r="A996" s="136"/>
      <c r="B996" s="136"/>
      <c r="C996" s="136"/>
    </row>
    <row r="997">
      <c r="A997" s="136"/>
      <c r="B997" s="136"/>
      <c r="C997" s="136"/>
    </row>
    <row r="998">
      <c r="A998" s="136"/>
      <c r="B998" s="136"/>
      <c r="C998" s="136"/>
    </row>
    <row r="999">
      <c r="A999" s="136"/>
      <c r="B999" s="136"/>
      <c r="C999" s="136"/>
    </row>
    <row r="1000">
      <c r="A1000" s="136"/>
      <c r="B1000" s="136"/>
      <c r="C1000" s="136"/>
    </row>
    <row r="1001">
      <c r="A1001" s="136"/>
      <c r="B1001" s="136"/>
      <c r="C1001" s="136"/>
    </row>
    <row r="1002">
      <c r="A1002" s="136"/>
      <c r="B1002" s="136"/>
      <c r="C1002" s="136"/>
    </row>
    <row r="1003">
      <c r="A1003" s="136"/>
      <c r="B1003" s="136"/>
      <c r="C1003" s="136"/>
    </row>
    <row r="1004">
      <c r="A1004" s="136"/>
      <c r="B1004" s="136"/>
      <c r="C1004" s="136"/>
    </row>
    <row r="1005">
      <c r="A1005" s="136"/>
      <c r="B1005" s="136"/>
      <c r="C1005" s="136"/>
    </row>
    <row r="1006">
      <c r="A1006" s="136"/>
      <c r="B1006" s="136"/>
      <c r="C1006" s="136"/>
    </row>
    <row r="1007">
      <c r="A1007" s="136"/>
      <c r="B1007" s="136"/>
      <c r="C1007" s="136"/>
    </row>
    <row r="1008">
      <c r="A1008" s="136"/>
      <c r="B1008" s="136"/>
      <c r="C1008" s="136"/>
    </row>
    <row r="1009">
      <c r="A1009" s="136"/>
      <c r="B1009" s="136"/>
      <c r="C1009" s="136"/>
    </row>
    <row r="1010">
      <c r="A1010" s="136"/>
      <c r="B1010" s="136"/>
      <c r="C1010" s="136"/>
    </row>
    <row r="1011">
      <c r="A1011" s="136"/>
      <c r="B1011" s="136"/>
      <c r="C1011" s="136"/>
    </row>
    <row r="1012">
      <c r="A1012" s="136"/>
      <c r="B1012" s="136"/>
      <c r="C1012" s="136"/>
    </row>
    <row r="1013">
      <c r="A1013" s="136"/>
      <c r="B1013" s="136"/>
      <c r="C1013" s="136"/>
    </row>
    <row r="1014">
      <c r="A1014" s="136"/>
      <c r="B1014" s="136"/>
      <c r="C1014" s="136"/>
    </row>
    <row r="1015">
      <c r="A1015" s="136"/>
      <c r="B1015" s="136"/>
      <c r="C1015" s="136"/>
    </row>
    <row r="1016">
      <c r="A1016" s="136"/>
      <c r="B1016" s="136"/>
      <c r="C1016" s="136"/>
    </row>
    <row r="1017">
      <c r="A1017" s="136"/>
      <c r="B1017" s="136"/>
      <c r="C1017" s="136"/>
    </row>
    <row r="1018">
      <c r="A1018" s="136"/>
      <c r="B1018" s="136"/>
      <c r="C1018" s="136"/>
    </row>
    <row r="1019">
      <c r="A1019" s="136"/>
      <c r="B1019" s="136"/>
      <c r="C1019" s="136"/>
    </row>
    <row r="1020">
      <c r="A1020" s="136"/>
      <c r="B1020" s="136"/>
      <c r="C1020" s="136"/>
    </row>
    <row r="1021">
      <c r="A1021" s="136"/>
      <c r="B1021" s="136"/>
      <c r="C1021" s="136"/>
    </row>
    <row r="1022">
      <c r="A1022" s="136"/>
      <c r="B1022" s="136"/>
      <c r="C1022" s="136"/>
    </row>
    <row r="1023">
      <c r="A1023" s="136"/>
      <c r="B1023" s="136"/>
      <c r="C1023" s="136"/>
    </row>
    <row r="1024">
      <c r="A1024" s="136"/>
      <c r="B1024" s="136"/>
      <c r="C1024" s="136"/>
    </row>
    <row r="1025">
      <c r="A1025" s="136"/>
      <c r="B1025" s="136"/>
      <c r="C1025" s="136"/>
    </row>
    <row r="1026">
      <c r="A1026" s="136"/>
      <c r="B1026" s="136"/>
      <c r="C1026" s="136"/>
    </row>
    <row r="1027">
      <c r="A1027" s="136"/>
      <c r="B1027" s="136"/>
      <c r="C1027" s="136"/>
    </row>
    <row r="1028">
      <c r="A1028" s="136"/>
      <c r="B1028" s="136"/>
      <c r="C1028" s="136"/>
    </row>
    <row r="1029">
      <c r="A1029" s="136"/>
      <c r="B1029" s="136"/>
      <c r="C1029" s="136"/>
    </row>
    <row r="1030">
      <c r="A1030" s="136"/>
      <c r="B1030" s="136"/>
      <c r="C1030" s="136"/>
    </row>
    <row r="1031">
      <c r="A1031" s="136"/>
      <c r="B1031" s="136"/>
      <c r="C1031" s="136"/>
    </row>
    <row r="1032">
      <c r="A1032" s="136"/>
      <c r="B1032" s="136"/>
      <c r="C1032" s="136"/>
    </row>
    <row r="1033">
      <c r="A1033" s="136"/>
      <c r="B1033" s="136"/>
      <c r="C1033" s="136"/>
    </row>
    <row r="1034">
      <c r="A1034" s="136"/>
      <c r="B1034" s="136"/>
      <c r="C1034" s="136"/>
    </row>
    <row r="1035">
      <c r="A1035" s="136"/>
      <c r="B1035" s="136"/>
      <c r="C1035" s="136"/>
    </row>
    <row r="1036">
      <c r="A1036" s="136"/>
      <c r="B1036" s="136"/>
      <c r="C1036" s="136"/>
    </row>
    <row r="1037">
      <c r="A1037" s="136"/>
      <c r="B1037" s="136"/>
      <c r="C1037" s="136"/>
    </row>
    <row r="1038">
      <c r="A1038" s="136"/>
      <c r="B1038" s="136"/>
      <c r="C1038" s="136"/>
    </row>
    <row r="1039">
      <c r="A1039" s="136"/>
      <c r="B1039" s="136"/>
      <c r="C1039" s="136"/>
    </row>
    <row r="1040">
      <c r="A1040" s="136"/>
      <c r="B1040" s="136"/>
      <c r="C1040" s="136"/>
    </row>
    <row r="1041">
      <c r="A1041" s="136"/>
      <c r="B1041" s="136"/>
      <c r="C1041" s="136"/>
    </row>
    <row r="1042">
      <c r="A1042" s="136"/>
      <c r="B1042" s="136"/>
      <c r="C1042" s="136"/>
    </row>
    <row r="1043">
      <c r="A1043" s="136"/>
      <c r="B1043" s="136"/>
      <c r="C1043" s="136"/>
    </row>
    <row r="1044">
      <c r="A1044" s="136"/>
      <c r="B1044" s="136"/>
      <c r="C1044" s="136"/>
    </row>
    <row r="1045">
      <c r="A1045" s="136"/>
      <c r="B1045" s="136"/>
      <c r="C1045" s="136"/>
    </row>
    <row r="1046">
      <c r="A1046" s="136"/>
      <c r="B1046" s="136"/>
      <c r="C1046" s="136"/>
    </row>
    <row r="1047">
      <c r="A1047" s="136"/>
      <c r="B1047" s="136"/>
      <c r="C1047" s="136"/>
    </row>
    <row r="1048">
      <c r="A1048" s="136"/>
      <c r="B1048" s="136"/>
      <c r="C1048" s="136"/>
    </row>
    <row r="1049">
      <c r="A1049" s="136"/>
      <c r="B1049" s="136"/>
      <c r="C1049" s="136"/>
    </row>
    <row r="1050">
      <c r="A1050" s="136"/>
      <c r="B1050" s="136"/>
      <c r="C1050" s="136"/>
    </row>
    <row r="1051">
      <c r="A1051" s="136"/>
      <c r="B1051" s="136"/>
      <c r="C1051" s="136"/>
    </row>
    <row r="1052">
      <c r="A1052" s="136"/>
      <c r="B1052" s="136"/>
      <c r="C1052" s="136"/>
    </row>
    <row r="1053">
      <c r="A1053" s="136"/>
      <c r="B1053" s="136"/>
      <c r="C1053" s="136"/>
    </row>
    <row r="1054">
      <c r="A1054" s="136"/>
      <c r="B1054" s="136"/>
      <c r="C1054" s="136"/>
    </row>
    <row r="1055">
      <c r="A1055" s="136"/>
      <c r="B1055" s="136"/>
      <c r="C1055" s="136"/>
    </row>
    <row r="1056">
      <c r="A1056" s="136"/>
      <c r="B1056" s="136"/>
      <c r="C1056" s="136"/>
    </row>
    <row r="1057">
      <c r="A1057" s="136"/>
      <c r="B1057" s="136"/>
      <c r="C1057" s="136"/>
    </row>
    <row r="1058">
      <c r="A1058" s="136"/>
      <c r="B1058" s="136"/>
      <c r="C1058" s="136"/>
    </row>
    <row r="1059">
      <c r="A1059" s="136"/>
      <c r="B1059" s="136"/>
      <c r="C1059" s="136"/>
    </row>
    <row r="1060">
      <c r="A1060" s="136"/>
      <c r="B1060" s="136"/>
      <c r="C1060" s="136"/>
    </row>
    <row r="1061">
      <c r="A1061" s="136"/>
      <c r="B1061" s="136"/>
      <c r="C1061" s="136"/>
    </row>
    <row r="1062">
      <c r="A1062" s="136"/>
      <c r="B1062" s="136"/>
      <c r="C1062" s="136"/>
    </row>
    <row r="1063">
      <c r="A1063" s="136"/>
      <c r="B1063" s="136"/>
      <c r="C1063" s="136"/>
    </row>
    <row r="1064">
      <c r="A1064" s="136"/>
      <c r="B1064" s="136"/>
      <c r="C1064" s="136"/>
    </row>
    <row r="1065">
      <c r="A1065" s="136"/>
      <c r="B1065" s="136"/>
      <c r="C1065" s="136"/>
    </row>
    <row r="1066">
      <c r="A1066" s="136"/>
      <c r="B1066" s="136"/>
      <c r="C1066" s="136"/>
    </row>
    <row r="1067">
      <c r="A1067" s="136"/>
      <c r="B1067" s="136"/>
      <c r="C1067" s="136"/>
    </row>
    <row r="1068">
      <c r="A1068" s="136"/>
      <c r="B1068" s="136"/>
      <c r="C1068" s="136"/>
    </row>
    <row r="1069">
      <c r="A1069" s="136"/>
      <c r="B1069" s="136"/>
      <c r="C1069" s="136"/>
    </row>
    <row r="1070">
      <c r="A1070" s="136"/>
      <c r="B1070" s="136"/>
      <c r="C1070" s="136"/>
    </row>
    <row r="1071">
      <c r="A1071" s="136"/>
      <c r="B1071" s="136"/>
      <c r="C1071" s="136"/>
    </row>
    <row r="1072">
      <c r="A1072" s="136"/>
      <c r="B1072" s="136"/>
      <c r="C1072" s="136"/>
    </row>
    <row r="1073">
      <c r="A1073" s="136"/>
      <c r="B1073" s="136"/>
      <c r="C1073" s="136"/>
    </row>
    <row r="1074">
      <c r="A1074" s="136"/>
      <c r="B1074" s="136"/>
      <c r="C1074" s="136"/>
    </row>
    <row r="1075">
      <c r="A1075" s="136"/>
      <c r="B1075" s="136"/>
      <c r="C1075" s="136"/>
    </row>
    <row r="1076">
      <c r="A1076" s="136"/>
      <c r="B1076" s="136"/>
      <c r="C1076" s="136"/>
    </row>
    <row r="1077">
      <c r="A1077" s="136"/>
      <c r="B1077" s="136"/>
      <c r="C1077" s="136"/>
    </row>
    <row r="1078">
      <c r="A1078" s="136"/>
      <c r="B1078" s="136"/>
      <c r="C1078" s="136"/>
    </row>
    <row r="1079">
      <c r="A1079" s="136"/>
      <c r="B1079" s="136"/>
      <c r="C1079" s="136"/>
    </row>
    <row r="1080">
      <c r="A1080" s="136"/>
      <c r="B1080" s="136"/>
      <c r="C1080" s="136"/>
    </row>
    <row r="1081">
      <c r="A1081" s="136"/>
      <c r="B1081" s="136"/>
      <c r="C1081" s="136"/>
    </row>
    <row r="1082">
      <c r="A1082" s="136"/>
      <c r="B1082" s="136"/>
      <c r="C1082" s="136"/>
    </row>
    <row r="1083">
      <c r="A1083" s="136"/>
      <c r="B1083" s="136"/>
      <c r="C1083" s="136"/>
    </row>
    <row r="1084">
      <c r="A1084" s="136"/>
      <c r="B1084" s="136"/>
      <c r="C1084" s="136"/>
    </row>
    <row r="1085">
      <c r="A1085" s="136"/>
      <c r="B1085" s="136"/>
      <c r="C1085" s="136"/>
    </row>
    <row r="1086">
      <c r="A1086" s="136"/>
      <c r="B1086" s="136"/>
      <c r="C1086" s="136"/>
    </row>
    <row r="1087">
      <c r="A1087" s="136"/>
      <c r="B1087" s="136"/>
      <c r="C1087" s="136"/>
    </row>
    <row r="1088">
      <c r="A1088" s="136"/>
      <c r="B1088" s="136"/>
      <c r="C1088" s="136"/>
    </row>
    <row r="1089">
      <c r="A1089" s="136"/>
      <c r="B1089" s="136"/>
      <c r="C1089" s="136"/>
    </row>
    <row r="1090">
      <c r="A1090" s="136"/>
      <c r="B1090" s="136"/>
      <c r="C1090" s="136"/>
    </row>
    <row r="1091">
      <c r="A1091" s="136"/>
      <c r="B1091" s="136"/>
      <c r="C1091" s="136"/>
    </row>
    <row r="1092">
      <c r="A1092" s="136"/>
      <c r="B1092" s="136"/>
      <c r="C1092" s="136"/>
    </row>
    <row r="1093">
      <c r="A1093" s="136"/>
      <c r="B1093" s="136"/>
      <c r="C1093" s="136"/>
    </row>
    <row r="1094">
      <c r="A1094" s="136"/>
      <c r="B1094" s="136"/>
      <c r="C1094" s="136"/>
    </row>
    <row r="1095">
      <c r="A1095" s="136"/>
      <c r="B1095" s="136"/>
      <c r="C1095" s="136"/>
    </row>
    <row r="1096">
      <c r="A1096" s="136"/>
      <c r="B1096" s="136"/>
      <c r="C1096" s="136"/>
    </row>
    <row r="1097">
      <c r="A1097" s="136"/>
      <c r="B1097" s="136"/>
      <c r="C1097" s="136"/>
    </row>
    <row r="1098">
      <c r="A1098" s="136"/>
      <c r="B1098" s="136"/>
      <c r="C1098" s="136"/>
    </row>
    <row r="1099">
      <c r="A1099" s="136"/>
      <c r="B1099" s="136"/>
      <c r="C1099" s="136"/>
    </row>
    <row r="1100">
      <c r="A1100" s="136"/>
      <c r="B1100" s="136"/>
      <c r="C1100" s="136"/>
    </row>
    <row r="1101">
      <c r="A1101" s="136"/>
      <c r="B1101" s="136"/>
      <c r="C1101" s="136"/>
    </row>
    <row r="1102">
      <c r="A1102" s="136"/>
      <c r="B1102" s="136"/>
      <c r="C1102" s="136"/>
    </row>
    <row r="1103">
      <c r="A1103" s="136"/>
      <c r="B1103" s="136"/>
      <c r="C1103" s="136"/>
    </row>
    <row r="1104">
      <c r="A1104" s="136"/>
      <c r="B1104" s="136"/>
      <c r="C1104" s="136"/>
    </row>
    <row r="1105">
      <c r="A1105" s="136"/>
      <c r="B1105" s="136"/>
      <c r="C1105" s="136"/>
    </row>
    <row r="1106">
      <c r="A1106" s="136"/>
      <c r="B1106" s="136"/>
      <c r="C1106" s="136"/>
    </row>
    <row r="1107">
      <c r="A1107" s="136"/>
      <c r="B1107" s="136"/>
      <c r="C1107" s="136"/>
    </row>
    <row r="1108">
      <c r="A1108" s="136"/>
      <c r="B1108" s="136"/>
      <c r="C1108" s="136"/>
    </row>
    <row r="1109">
      <c r="A1109" s="136"/>
      <c r="B1109" s="136"/>
      <c r="C1109" s="136"/>
    </row>
    <row r="1110">
      <c r="A1110" s="136"/>
      <c r="B1110" s="136"/>
      <c r="C1110" s="136"/>
    </row>
    <row r="1111">
      <c r="A1111" s="136"/>
      <c r="B1111" s="136"/>
      <c r="C1111" s="136"/>
    </row>
    <row r="1112">
      <c r="A1112" s="136"/>
      <c r="B1112" s="136"/>
      <c r="C1112" s="136"/>
    </row>
    <row r="1113">
      <c r="A1113" s="136"/>
      <c r="B1113" s="136"/>
      <c r="C1113" s="136"/>
    </row>
    <row r="1114">
      <c r="A1114" s="136"/>
      <c r="B1114" s="136"/>
      <c r="C1114" s="136"/>
    </row>
    <row r="1115">
      <c r="A1115" s="136"/>
      <c r="B1115" s="136"/>
      <c r="C1115" s="136"/>
    </row>
    <row r="1116">
      <c r="A1116" s="136"/>
      <c r="B1116" s="136"/>
      <c r="C1116" s="136"/>
    </row>
    <row r="1117">
      <c r="A1117" s="136"/>
      <c r="B1117" s="136"/>
      <c r="C1117" s="136"/>
    </row>
    <row r="1118">
      <c r="A1118" s="136"/>
      <c r="B1118" s="136"/>
      <c r="C1118" s="136"/>
    </row>
    <row r="1119">
      <c r="A1119" s="136"/>
      <c r="B1119" s="136"/>
      <c r="C1119" s="136"/>
    </row>
    <row r="1120">
      <c r="A1120" s="136"/>
      <c r="B1120" s="136"/>
      <c r="C1120" s="136"/>
    </row>
    <row r="1121">
      <c r="A1121" s="136"/>
      <c r="B1121" s="136"/>
      <c r="C1121" s="136"/>
    </row>
    <row r="1122">
      <c r="A1122" s="136"/>
      <c r="B1122" s="136"/>
      <c r="C1122" s="136"/>
    </row>
    <row r="1123">
      <c r="A1123" s="136"/>
      <c r="B1123" s="136"/>
      <c r="C1123" s="136"/>
    </row>
    <row r="1124">
      <c r="A1124" s="136"/>
      <c r="B1124" s="136"/>
      <c r="C1124" s="136"/>
    </row>
    <row r="1125">
      <c r="A1125" s="136"/>
      <c r="B1125" s="136"/>
      <c r="C1125" s="136"/>
    </row>
    <row r="1126">
      <c r="A1126" s="136"/>
      <c r="B1126" s="136"/>
      <c r="C1126" s="136"/>
    </row>
    <row r="1127">
      <c r="A1127" s="136"/>
      <c r="B1127" s="136"/>
      <c r="C1127" s="136"/>
    </row>
    <row r="1128">
      <c r="A1128" s="136"/>
      <c r="B1128" s="136"/>
      <c r="C1128" s="136"/>
    </row>
    <row r="1129">
      <c r="A1129" s="136"/>
      <c r="B1129" s="136"/>
      <c r="C1129" s="136"/>
    </row>
    <row r="1130">
      <c r="A1130" s="136"/>
      <c r="B1130" s="136"/>
      <c r="C1130" s="136"/>
    </row>
    <row r="1131">
      <c r="A1131" s="136"/>
      <c r="B1131" s="136"/>
      <c r="C1131" s="136"/>
    </row>
    <row r="1132">
      <c r="A1132" s="136"/>
      <c r="B1132" s="136"/>
      <c r="C1132" s="136"/>
    </row>
    <row r="1133">
      <c r="A1133" s="136"/>
      <c r="B1133" s="136"/>
      <c r="C1133" s="136"/>
    </row>
  </sheetData>
  <mergeCells count="1">
    <mergeCell ref="A34:C3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3" width="16.88"/>
    <col customWidth="1" min="4" max="16" width="18.88"/>
  </cols>
  <sheetData>
    <row r="1" ht="30.0" customHeight="1">
      <c r="A1" s="143"/>
      <c r="B1" s="144" t="s">
        <v>500</v>
      </c>
      <c r="C1" s="144" t="s">
        <v>501</v>
      </c>
      <c r="D1" s="144" t="s">
        <v>502</v>
      </c>
      <c r="E1" s="144" t="s">
        <v>503</v>
      </c>
      <c r="F1" s="144" t="s">
        <v>504</v>
      </c>
      <c r="G1" s="144" t="s">
        <v>505</v>
      </c>
      <c r="H1" s="144" t="s">
        <v>506</v>
      </c>
      <c r="I1" s="144" t="s">
        <v>507</v>
      </c>
      <c r="J1" s="144" t="s">
        <v>508</v>
      </c>
      <c r="K1" s="144" t="s">
        <v>509</v>
      </c>
      <c r="L1" s="144" t="s">
        <v>510</v>
      </c>
      <c r="M1" s="144" t="s">
        <v>511</v>
      </c>
      <c r="N1" s="144" t="s">
        <v>512</v>
      </c>
      <c r="O1" s="145" t="s">
        <v>513</v>
      </c>
      <c r="P1" s="145" t="s">
        <v>514</v>
      </c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ht="30.0" customHeight="1">
      <c r="A2" s="147" t="s">
        <v>45</v>
      </c>
      <c r="B2" s="148" t="s">
        <v>515</v>
      </c>
      <c r="C2" s="148" t="s">
        <v>516</v>
      </c>
      <c r="D2" s="148" t="s">
        <v>517</v>
      </c>
      <c r="E2" s="148" t="s">
        <v>517</v>
      </c>
      <c r="F2" s="149" t="s">
        <v>517</v>
      </c>
      <c r="G2" s="150"/>
      <c r="H2" s="148" t="s">
        <v>517</v>
      </c>
      <c r="I2" s="148" t="s">
        <v>517</v>
      </c>
      <c r="J2" s="148" t="s">
        <v>518</v>
      </c>
      <c r="K2" s="149" t="s">
        <v>517</v>
      </c>
      <c r="L2" s="148" t="s">
        <v>519</v>
      </c>
      <c r="M2" s="149" t="s">
        <v>519</v>
      </c>
      <c r="N2" s="149" t="s">
        <v>519</v>
      </c>
      <c r="O2" s="149" t="s">
        <v>520</v>
      </c>
      <c r="P2" s="148" t="s">
        <v>521</v>
      </c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ht="30.0" customHeight="1">
      <c r="A3" s="152" t="s">
        <v>79</v>
      </c>
      <c r="B3" s="148" t="s">
        <v>522</v>
      </c>
      <c r="C3" s="148" t="s">
        <v>522</v>
      </c>
      <c r="D3" s="148" t="s">
        <v>523</v>
      </c>
      <c r="E3" s="148" t="s">
        <v>524</v>
      </c>
      <c r="F3" s="148" t="s">
        <v>523</v>
      </c>
      <c r="G3" s="148" t="s">
        <v>525</v>
      </c>
      <c r="H3" s="148" t="s">
        <v>523</v>
      </c>
      <c r="I3" s="148" t="s">
        <v>523</v>
      </c>
      <c r="J3" s="148" t="s">
        <v>525</v>
      </c>
      <c r="K3" s="149" t="s">
        <v>523</v>
      </c>
      <c r="L3" s="148" t="s">
        <v>525</v>
      </c>
      <c r="M3" s="149" t="s">
        <v>526</v>
      </c>
      <c r="N3" s="148" t="s">
        <v>523</v>
      </c>
      <c r="O3" s="148" t="s">
        <v>84</v>
      </c>
      <c r="P3" s="149" t="s">
        <v>84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30.0" customHeight="1">
      <c r="A4" s="147" t="s">
        <v>100</v>
      </c>
      <c r="B4" s="149" t="s">
        <v>527</v>
      </c>
      <c r="C4" s="149" t="s">
        <v>528</v>
      </c>
      <c r="D4" s="149" t="s">
        <v>529</v>
      </c>
      <c r="E4" s="148" t="s">
        <v>530</v>
      </c>
      <c r="F4" s="148" t="s">
        <v>531</v>
      </c>
      <c r="G4" s="149" t="s">
        <v>528</v>
      </c>
      <c r="H4" s="149" t="s">
        <v>532</v>
      </c>
      <c r="I4" s="148" t="s">
        <v>532</v>
      </c>
      <c r="J4" s="149" t="s">
        <v>529</v>
      </c>
      <c r="K4" s="149" t="s">
        <v>533</v>
      </c>
      <c r="L4" s="148" t="s">
        <v>534</v>
      </c>
      <c r="M4" s="148" t="s">
        <v>533</v>
      </c>
      <c r="N4" s="148" t="s">
        <v>535</v>
      </c>
      <c r="O4" s="148" t="s">
        <v>528</v>
      </c>
      <c r="P4" s="148" t="s">
        <v>536</v>
      </c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</row>
    <row r="5" ht="30.0" customHeight="1">
      <c r="A5" s="152" t="s">
        <v>125</v>
      </c>
      <c r="B5" s="148" t="s">
        <v>537</v>
      </c>
      <c r="C5" s="148" t="s">
        <v>537</v>
      </c>
      <c r="D5" s="149" t="s">
        <v>538</v>
      </c>
      <c r="E5" s="149" t="s">
        <v>537</v>
      </c>
      <c r="F5" s="148" t="s">
        <v>539</v>
      </c>
      <c r="G5" s="148" t="s">
        <v>537</v>
      </c>
      <c r="H5" s="148" t="s">
        <v>540</v>
      </c>
      <c r="I5" s="148" t="s">
        <v>132</v>
      </c>
      <c r="J5" s="149" t="s">
        <v>537</v>
      </c>
      <c r="K5" s="148" t="s">
        <v>537</v>
      </c>
      <c r="L5" s="148" t="s">
        <v>537</v>
      </c>
      <c r="M5" s="149" t="s">
        <v>537</v>
      </c>
      <c r="N5" s="148" t="s">
        <v>540</v>
      </c>
      <c r="O5" s="149" t="s">
        <v>541</v>
      </c>
      <c r="P5" s="148" t="s">
        <v>541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 ht="30.0" customHeight="1">
      <c r="A6" s="147" t="s">
        <v>152</v>
      </c>
      <c r="B6" s="148" t="s">
        <v>542</v>
      </c>
      <c r="C6" s="149" t="s">
        <v>542</v>
      </c>
      <c r="D6" s="148" t="s">
        <v>543</v>
      </c>
      <c r="E6" s="148" t="s">
        <v>544</v>
      </c>
      <c r="F6" s="148" t="s">
        <v>544</v>
      </c>
      <c r="G6" s="149" t="s">
        <v>530</v>
      </c>
      <c r="H6" s="148" t="s">
        <v>545</v>
      </c>
      <c r="I6" s="148" t="s">
        <v>546</v>
      </c>
      <c r="J6" s="148" t="s">
        <v>547</v>
      </c>
      <c r="K6" s="148" t="s">
        <v>548</v>
      </c>
      <c r="L6" s="148" t="s">
        <v>530</v>
      </c>
      <c r="M6" s="148" t="s">
        <v>545</v>
      </c>
      <c r="N6" s="149" t="s">
        <v>100</v>
      </c>
      <c r="O6" s="148" t="s">
        <v>530</v>
      </c>
      <c r="P6" s="149" t="s">
        <v>549</v>
      </c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</row>
    <row r="7" ht="30.0" customHeight="1">
      <c r="A7" s="152" t="s">
        <v>174</v>
      </c>
      <c r="B7" s="149" t="s">
        <v>550</v>
      </c>
      <c r="C7" s="148" t="s">
        <v>551</v>
      </c>
      <c r="D7" s="148" t="s">
        <v>552</v>
      </c>
      <c r="E7" s="149" t="s">
        <v>551</v>
      </c>
      <c r="F7" s="148" t="s">
        <v>551</v>
      </c>
      <c r="G7" s="149" t="s">
        <v>553</v>
      </c>
      <c r="H7" s="148" t="s">
        <v>551</v>
      </c>
      <c r="I7" s="148" t="s">
        <v>552</v>
      </c>
      <c r="J7" s="149" t="s">
        <v>554</v>
      </c>
      <c r="K7" s="149" t="s">
        <v>550</v>
      </c>
      <c r="L7" s="149" t="s">
        <v>551</v>
      </c>
      <c r="M7" s="149" t="s">
        <v>550</v>
      </c>
      <c r="N7" s="149" t="s">
        <v>551</v>
      </c>
      <c r="O7" s="148" t="s">
        <v>555</v>
      </c>
      <c r="P7" s="149" t="s">
        <v>553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</row>
    <row r="8" ht="30.0" customHeight="1">
      <c r="A8" s="147" t="s">
        <v>199</v>
      </c>
      <c r="B8" s="149" t="s">
        <v>556</v>
      </c>
      <c r="C8" s="148" t="s">
        <v>556</v>
      </c>
      <c r="D8" s="148" t="s">
        <v>557</v>
      </c>
      <c r="E8" s="149" t="s">
        <v>556</v>
      </c>
      <c r="F8" s="149" t="s">
        <v>556</v>
      </c>
      <c r="G8" s="148" t="s">
        <v>522</v>
      </c>
      <c r="H8" s="148" t="s">
        <v>522</v>
      </c>
      <c r="I8" s="149" t="s">
        <v>522</v>
      </c>
      <c r="J8" s="148" t="s">
        <v>558</v>
      </c>
      <c r="K8" s="148" t="s">
        <v>522</v>
      </c>
      <c r="L8" s="148" t="s">
        <v>522</v>
      </c>
      <c r="M8" s="149" t="s">
        <v>522</v>
      </c>
      <c r="N8" s="148" t="s">
        <v>188</v>
      </c>
      <c r="O8" s="148" t="s">
        <v>229</v>
      </c>
      <c r="P8" s="149" t="s">
        <v>522</v>
      </c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</row>
    <row r="9" ht="30.0" customHeight="1">
      <c r="A9" s="152" t="s">
        <v>221</v>
      </c>
      <c r="B9" s="148" t="s">
        <v>559</v>
      </c>
      <c r="C9" s="148" t="s">
        <v>559</v>
      </c>
      <c r="D9" s="150"/>
      <c r="E9" s="148" t="s">
        <v>560</v>
      </c>
      <c r="F9" s="148" t="s">
        <v>561</v>
      </c>
      <c r="G9" s="148" t="s">
        <v>259</v>
      </c>
      <c r="H9" s="148" t="s">
        <v>560</v>
      </c>
      <c r="I9" s="148" t="s">
        <v>559</v>
      </c>
      <c r="J9" s="149" t="s">
        <v>560</v>
      </c>
      <c r="K9" s="149" t="s">
        <v>562</v>
      </c>
      <c r="L9" s="148" t="s">
        <v>563</v>
      </c>
      <c r="M9" s="149" t="s">
        <v>564</v>
      </c>
      <c r="N9" s="148" t="s">
        <v>565</v>
      </c>
      <c r="O9" s="148" t="s">
        <v>566</v>
      </c>
      <c r="P9" s="149" t="s">
        <v>560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</row>
    <row r="10" ht="30.0" customHeight="1">
      <c r="A10" s="147" t="s">
        <v>245</v>
      </c>
      <c r="B10" s="148" t="s">
        <v>567</v>
      </c>
      <c r="C10" s="149" t="s">
        <v>568</v>
      </c>
      <c r="D10" s="149" t="s">
        <v>567</v>
      </c>
      <c r="E10" s="148" t="s">
        <v>569</v>
      </c>
      <c r="F10" s="148" t="s">
        <v>569</v>
      </c>
      <c r="G10" s="149" t="s">
        <v>569</v>
      </c>
      <c r="H10" s="148" t="s">
        <v>570</v>
      </c>
      <c r="I10" s="149" t="s">
        <v>567</v>
      </c>
      <c r="J10" s="149" t="s">
        <v>570</v>
      </c>
      <c r="K10" s="149" t="s">
        <v>569</v>
      </c>
      <c r="L10" s="149" t="s">
        <v>569</v>
      </c>
      <c r="M10" s="149" t="s">
        <v>570</v>
      </c>
      <c r="N10" s="149" t="s">
        <v>571</v>
      </c>
      <c r="O10" s="149" t="s">
        <v>570</v>
      </c>
      <c r="P10" s="148" t="s">
        <v>248</v>
      </c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</row>
    <row r="11" ht="30.0" customHeight="1">
      <c r="A11" s="152" t="s">
        <v>269</v>
      </c>
      <c r="B11" s="148" t="s">
        <v>572</v>
      </c>
      <c r="C11" s="149" t="s">
        <v>573</v>
      </c>
      <c r="D11" s="148" t="s">
        <v>574</v>
      </c>
      <c r="E11" s="149" t="s">
        <v>575</v>
      </c>
      <c r="F11" s="149" t="s">
        <v>573</v>
      </c>
      <c r="G11" s="149" t="s">
        <v>572</v>
      </c>
      <c r="H11" s="148" t="s">
        <v>574</v>
      </c>
      <c r="I11" s="149" t="s">
        <v>576</v>
      </c>
      <c r="J11" s="149" t="s">
        <v>574</v>
      </c>
      <c r="K11" s="148" t="s">
        <v>271</v>
      </c>
      <c r="L11" s="149" t="s">
        <v>574</v>
      </c>
      <c r="M11" s="149" t="s">
        <v>574</v>
      </c>
      <c r="N11" s="149" t="s">
        <v>256</v>
      </c>
      <c r="O11" s="148" t="s">
        <v>577</v>
      </c>
      <c r="P11" s="149" t="s">
        <v>274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</row>
    <row r="12" ht="30.0" customHeight="1">
      <c r="A12" s="147" t="s">
        <v>297</v>
      </c>
      <c r="B12" s="149" t="s">
        <v>578</v>
      </c>
      <c r="C12" s="150"/>
      <c r="D12" s="150"/>
      <c r="E12" s="148" t="s">
        <v>578</v>
      </c>
      <c r="F12" s="153" t="s">
        <v>579</v>
      </c>
      <c r="G12" s="154" t="s">
        <v>579</v>
      </c>
      <c r="H12" s="153" t="s">
        <v>580</v>
      </c>
      <c r="I12" s="153" t="s">
        <v>579</v>
      </c>
      <c r="J12" s="154" t="s">
        <v>531</v>
      </c>
      <c r="K12" s="153" t="s">
        <v>579</v>
      </c>
      <c r="L12" s="154" t="s">
        <v>579</v>
      </c>
      <c r="M12" s="153" t="s">
        <v>567</v>
      </c>
      <c r="N12" s="148" t="s">
        <v>521</v>
      </c>
      <c r="O12" s="148" t="s">
        <v>567</v>
      </c>
      <c r="P12" s="148" t="s">
        <v>581</v>
      </c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</row>
    <row r="13" ht="30.0" customHeight="1">
      <c r="A13" s="152" t="s">
        <v>341</v>
      </c>
      <c r="B13" s="149" t="s">
        <v>582</v>
      </c>
      <c r="C13" s="148" t="s">
        <v>583</v>
      </c>
      <c r="D13" s="148" t="s">
        <v>584</v>
      </c>
      <c r="E13" s="148" t="s">
        <v>582</v>
      </c>
      <c r="F13" s="148" t="s">
        <v>585</v>
      </c>
      <c r="G13" s="149" t="s">
        <v>585</v>
      </c>
      <c r="H13" s="148" t="s">
        <v>586</v>
      </c>
      <c r="I13" s="148" t="s">
        <v>584</v>
      </c>
      <c r="J13" s="148" t="s">
        <v>544</v>
      </c>
      <c r="K13" s="149" t="s">
        <v>354</v>
      </c>
      <c r="L13" s="148" t="s">
        <v>584</v>
      </c>
      <c r="M13" s="149" t="s">
        <v>585</v>
      </c>
      <c r="N13" s="148" t="s">
        <v>587</v>
      </c>
      <c r="O13" s="149" t="s">
        <v>583</v>
      </c>
      <c r="P13" s="149" t="s">
        <v>544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</row>
    <row r="14">
      <c r="A14" s="136"/>
      <c r="B14" s="151"/>
      <c r="C14" s="151"/>
      <c r="D14" s="151"/>
      <c r="E14" s="151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</row>
    <row r="15">
      <c r="A15" s="136"/>
      <c r="B15" s="151"/>
      <c r="C15" s="151"/>
      <c r="D15" s="151"/>
      <c r="E15" s="151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>
      <c r="A16" s="136"/>
      <c r="B16" s="151"/>
      <c r="C16" s="151"/>
      <c r="D16" s="151"/>
      <c r="E16" s="151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</row>
    <row r="17">
      <c r="A17" s="136"/>
      <c r="B17" s="155"/>
      <c r="C17" s="155"/>
      <c r="D17" s="155"/>
      <c r="E17" s="155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</row>
    <row r="18">
      <c r="A18" s="136"/>
      <c r="B18" s="155"/>
      <c r="C18" s="155"/>
      <c r="D18" s="155"/>
      <c r="E18" s="155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</row>
    <row r="19">
      <c r="B19" s="155"/>
      <c r="C19" s="155"/>
      <c r="D19" s="155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</row>
    <row r="20">
      <c r="A20" s="104"/>
      <c r="B20" s="151"/>
      <c r="C20" s="151"/>
      <c r="D20" s="151"/>
      <c r="E20" s="151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</row>
    <row r="21">
      <c r="A21" s="104"/>
      <c r="B21" s="151"/>
      <c r="C21" s="151"/>
      <c r="D21" s="151"/>
      <c r="E21" s="151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</row>
    <row r="22">
      <c r="A22" s="136"/>
      <c r="B22" s="151"/>
      <c r="C22" s="151"/>
      <c r="D22" s="151"/>
      <c r="E22" s="151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</row>
    <row r="23">
      <c r="A23" s="136"/>
      <c r="B23" s="151"/>
      <c r="C23" s="151"/>
      <c r="D23" s="151"/>
      <c r="E23" s="151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</row>
    <row r="24">
      <c r="A24" s="136"/>
      <c r="B24" s="151"/>
      <c r="C24" s="151"/>
      <c r="D24" s="151"/>
      <c r="E24" s="151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</row>
    <row r="25">
      <c r="A25" s="136"/>
      <c r="B25" s="151"/>
      <c r="C25" s="151"/>
      <c r="D25" s="151"/>
      <c r="E25" s="151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</row>
    <row r="26">
      <c r="A26" s="136"/>
      <c r="B26" s="151"/>
      <c r="C26" s="151"/>
      <c r="D26" s="151"/>
      <c r="E26" s="151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</row>
    <row r="27">
      <c r="A27" s="136"/>
      <c r="B27" s="151"/>
      <c r="C27" s="151"/>
      <c r="D27" s="151"/>
      <c r="E27" s="151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</row>
    <row r="28">
      <c r="A28" s="136"/>
      <c r="B28" s="151"/>
      <c r="C28" s="151"/>
      <c r="D28" s="151"/>
      <c r="E28" s="151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</row>
    <row r="29">
      <c r="A29" s="136"/>
      <c r="B29" s="151"/>
      <c r="C29" s="151"/>
      <c r="D29" s="151"/>
      <c r="E29" s="151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</row>
    <row r="30">
      <c r="A30" s="136"/>
      <c r="B30" s="151"/>
      <c r="C30" s="151"/>
      <c r="D30" s="151"/>
      <c r="E30" s="151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</row>
    <row r="31">
      <c r="A31" s="136"/>
      <c r="B31" s="151"/>
      <c r="C31" s="151"/>
      <c r="D31" s="151"/>
      <c r="E31" s="151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</row>
    <row r="32">
      <c r="A32" s="136"/>
      <c r="B32" s="151"/>
      <c r="C32" s="151"/>
      <c r="D32" s="151"/>
      <c r="E32" s="151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</row>
    <row r="33">
      <c r="A33" s="136"/>
      <c r="B33" s="151"/>
      <c r="C33" s="151"/>
      <c r="D33" s="151"/>
      <c r="E33" s="151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</row>
    <row r="34">
      <c r="A34" s="156"/>
      <c r="B34" s="151"/>
      <c r="C34" s="151"/>
      <c r="D34" s="151"/>
      <c r="E34" s="151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</row>
    <row r="35">
      <c r="A35" s="156"/>
      <c r="B35" s="151"/>
      <c r="C35" s="151"/>
      <c r="D35" s="151"/>
      <c r="E35" s="151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</row>
    <row r="36">
      <c r="A36" s="156"/>
      <c r="B36" s="151"/>
      <c r="C36" s="151"/>
      <c r="D36" s="151"/>
      <c r="E36" s="151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</row>
    <row r="37">
      <c r="A37" s="156"/>
      <c r="B37" s="151"/>
      <c r="C37" s="151"/>
      <c r="D37" s="151"/>
      <c r="E37" s="151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</row>
    <row r="38">
      <c r="A38" s="156"/>
      <c r="B38" s="151"/>
      <c r="C38" s="151"/>
      <c r="D38" s="151"/>
      <c r="E38" s="151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</row>
    <row r="39">
      <c r="A39" s="156"/>
      <c r="B39" s="151"/>
      <c r="C39" s="151"/>
      <c r="D39" s="151"/>
      <c r="E39" s="151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</row>
    <row r="40">
      <c r="A40" s="156"/>
      <c r="B40" s="151"/>
      <c r="C40" s="151"/>
      <c r="D40" s="151"/>
      <c r="E40" s="151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</row>
    <row r="41">
      <c r="A41" s="156"/>
      <c r="B41" s="151"/>
      <c r="C41" s="151"/>
      <c r="D41" s="151"/>
      <c r="E41" s="151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</row>
    <row r="42">
      <c r="A42" s="156"/>
      <c r="B42" s="151"/>
      <c r="C42" s="151"/>
      <c r="D42" s="151"/>
      <c r="E42" s="151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</row>
    <row r="43">
      <c r="A43" s="156"/>
      <c r="B43" s="151"/>
      <c r="C43" s="151"/>
      <c r="D43" s="151"/>
      <c r="E43" s="151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</row>
    <row r="44">
      <c r="A44" s="156"/>
      <c r="B44" s="151"/>
      <c r="C44" s="151"/>
      <c r="D44" s="151"/>
      <c r="E44" s="151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</row>
    <row r="45">
      <c r="A45" s="156"/>
      <c r="B45" s="151"/>
      <c r="C45" s="151"/>
      <c r="D45" s="151"/>
      <c r="E45" s="151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</row>
    <row r="46">
      <c r="A46" s="156"/>
      <c r="B46" s="151"/>
      <c r="C46" s="151"/>
      <c r="D46" s="151"/>
      <c r="E46" s="151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</row>
    <row r="47">
      <c r="A47" s="156"/>
      <c r="B47" s="151"/>
      <c r="C47" s="151"/>
      <c r="D47" s="151"/>
      <c r="E47" s="151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</row>
    <row r="48">
      <c r="A48" s="156"/>
      <c r="B48" s="151"/>
      <c r="C48" s="151"/>
      <c r="D48" s="151"/>
      <c r="E48" s="151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</row>
    <row r="49">
      <c r="A49" s="156"/>
      <c r="B49" s="151"/>
      <c r="C49" s="151"/>
      <c r="D49" s="151"/>
      <c r="E49" s="151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</row>
    <row r="50">
      <c r="A50" s="156"/>
      <c r="B50" s="151"/>
      <c r="C50" s="151"/>
      <c r="D50" s="151"/>
      <c r="E50" s="151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</row>
    <row r="51">
      <c r="A51" s="156"/>
      <c r="B51" s="151"/>
      <c r="C51" s="151"/>
      <c r="D51" s="151"/>
      <c r="E51" s="151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  <row r="52">
      <c r="A52" s="156"/>
      <c r="B52" s="151"/>
      <c r="C52" s="151"/>
      <c r="D52" s="151"/>
      <c r="E52" s="151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</row>
    <row r="53">
      <c r="A53" s="156"/>
      <c r="B53" s="151"/>
      <c r="C53" s="151"/>
      <c r="D53" s="151"/>
      <c r="E53" s="151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</row>
    <row r="54">
      <c r="A54" s="156"/>
      <c r="B54" s="151"/>
      <c r="C54" s="151"/>
      <c r="D54" s="151"/>
      <c r="E54" s="151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</row>
    <row r="55">
      <c r="A55" s="156"/>
      <c r="B55" s="151"/>
      <c r="C55" s="151"/>
      <c r="D55" s="151"/>
      <c r="E55" s="151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</row>
    <row r="56">
      <c r="A56" s="156"/>
      <c r="B56" s="151"/>
      <c r="C56" s="151"/>
      <c r="D56" s="151"/>
      <c r="E56" s="151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</row>
    <row r="57">
      <c r="A57" s="156"/>
      <c r="B57" s="151"/>
      <c r="C57" s="151"/>
      <c r="D57" s="151"/>
      <c r="E57" s="151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</row>
    <row r="58">
      <c r="A58" s="156"/>
      <c r="B58" s="151"/>
      <c r="C58" s="151"/>
      <c r="D58" s="151"/>
      <c r="E58" s="151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</row>
    <row r="59">
      <c r="A59" s="156"/>
      <c r="B59" s="151"/>
      <c r="C59" s="151"/>
      <c r="D59" s="151"/>
      <c r="E59" s="151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</row>
    <row r="60">
      <c r="A60" s="156"/>
      <c r="B60" s="151"/>
      <c r="C60" s="151"/>
      <c r="D60" s="151"/>
      <c r="E60" s="151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</row>
    <row r="61">
      <c r="A61" s="156"/>
      <c r="B61" s="151"/>
      <c r="C61" s="151"/>
      <c r="D61" s="151"/>
      <c r="E61" s="151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</row>
    <row r="62">
      <c r="A62" s="156"/>
      <c r="B62" s="151"/>
      <c r="C62" s="151"/>
      <c r="D62" s="151"/>
      <c r="E62" s="151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</row>
    <row r="63">
      <c r="A63" s="156"/>
      <c r="B63" s="151"/>
      <c r="C63" s="151"/>
      <c r="D63" s="151"/>
      <c r="E63" s="151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</row>
    <row r="64">
      <c r="A64" s="156"/>
      <c r="B64" s="151"/>
      <c r="C64" s="151"/>
      <c r="D64" s="151"/>
      <c r="E64" s="151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</row>
    <row r="65">
      <c r="A65" s="156"/>
      <c r="B65" s="151"/>
      <c r="C65" s="151"/>
      <c r="D65" s="151"/>
      <c r="E65" s="151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</row>
    <row r="66">
      <c r="A66" s="156"/>
      <c r="B66" s="151"/>
      <c r="C66" s="151"/>
      <c r="D66" s="151"/>
      <c r="E66" s="151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</row>
    <row r="67">
      <c r="A67" s="156"/>
      <c r="B67" s="151"/>
      <c r="C67" s="151"/>
      <c r="D67" s="151"/>
      <c r="E67" s="151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</row>
    <row r="68">
      <c r="A68" s="156"/>
      <c r="B68" s="151"/>
      <c r="C68" s="151"/>
      <c r="D68" s="151"/>
      <c r="E68" s="151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</row>
    <row r="69">
      <c r="A69" s="156"/>
      <c r="B69" s="151"/>
      <c r="C69" s="151"/>
      <c r="D69" s="151"/>
      <c r="E69" s="151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>
      <c r="A70" s="156"/>
      <c r="B70" s="151"/>
      <c r="C70" s="151"/>
      <c r="D70" s="151"/>
      <c r="E70" s="151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</row>
    <row r="71">
      <c r="A71" s="156"/>
      <c r="B71" s="151"/>
      <c r="C71" s="151"/>
      <c r="D71" s="151"/>
      <c r="E71" s="151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</row>
    <row r="72">
      <c r="A72" s="156"/>
      <c r="B72" s="151"/>
      <c r="C72" s="151"/>
      <c r="D72" s="151"/>
      <c r="E72" s="151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</row>
    <row r="73">
      <c r="A73" s="156"/>
      <c r="B73" s="151"/>
      <c r="C73" s="151"/>
      <c r="D73" s="151"/>
      <c r="E73" s="151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</row>
    <row r="74">
      <c r="A74" s="156"/>
      <c r="B74" s="151"/>
      <c r="C74" s="151"/>
      <c r="D74" s="151"/>
      <c r="E74" s="151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</row>
    <row r="75">
      <c r="A75" s="156"/>
      <c r="B75" s="151"/>
      <c r="C75" s="151"/>
      <c r="D75" s="151"/>
      <c r="E75" s="151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</row>
    <row r="76">
      <c r="A76" s="156"/>
      <c r="B76" s="151"/>
      <c r="C76" s="151"/>
      <c r="D76" s="151"/>
      <c r="E76" s="151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</row>
    <row r="77">
      <c r="A77" s="156"/>
      <c r="B77" s="151"/>
      <c r="C77" s="151"/>
      <c r="D77" s="151"/>
      <c r="E77" s="151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</row>
    <row r="78">
      <c r="A78" s="156"/>
      <c r="B78" s="151"/>
      <c r="C78" s="151"/>
      <c r="D78" s="151"/>
      <c r="E78" s="151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</row>
    <row r="79">
      <c r="A79" s="156"/>
      <c r="B79" s="151"/>
      <c r="C79" s="151"/>
      <c r="D79" s="151"/>
      <c r="E79" s="151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</row>
    <row r="80">
      <c r="A80" s="156"/>
      <c r="B80" s="151"/>
      <c r="C80" s="151"/>
      <c r="D80" s="151"/>
      <c r="E80" s="151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</row>
    <row r="81">
      <c r="A81" s="156"/>
      <c r="B81" s="151"/>
      <c r="C81" s="151"/>
      <c r="D81" s="151"/>
      <c r="E81" s="151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</row>
    <row r="82">
      <c r="A82" s="156"/>
      <c r="B82" s="151"/>
      <c r="C82" s="151"/>
      <c r="D82" s="151"/>
      <c r="E82" s="151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</row>
    <row r="83">
      <c r="A83" s="156"/>
      <c r="B83" s="151"/>
      <c r="C83" s="151"/>
      <c r="D83" s="151"/>
      <c r="E83" s="151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</row>
    <row r="84">
      <c r="A84" s="156"/>
      <c r="B84" s="151"/>
      <c r="C84" s="151"/>
      <c r="D84" s="151"/>
      <c r="E84" s="151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</row>
    <row r="85">
      <c r="A85" s="156"/>
      <c r="B85" s="151"/>
      <c r="C85" s="151"/>
      <c r="D85" s="151"/>
      <c r="E85" s="151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</row>
    <row r="86">
      <c r="A86" s="156"/>
      <c r="B86" s="151"/>
      <c r="C86" s="151"/>
      <c r="D86" s="151"/>
      <c r="E86" s="151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</row>
    <row r="87">
      <c r="A87" s="156"/>
      <c r="B87" s="151"/>
      <c r="C87" s="151"/>
      <c r="D87" s="151"/>
      <c r="E87" s="151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</row>
    <row r="88">
      <c r="A88" s="156"/>
      <c r="B88" s="151"/>
      <c r="C88" s="151"/>
      <c r="D88" s="151"/>
      <c r="E88" s="151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</row>
    <row r="89">
      <c r="A89" s="156"/>
      <c r="B89" s="151"/>
      <c r="C89" s="151"/>
      <c r="D89" s="151"/>
      <c r="E89" s="151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</row>
    <row r="90">
      <c r="A90" s="156"/>
      <c r="B90" s="151"/>
      <c r="C90" s="151"/>
      <c r="D90" s="151"/>
      <c r="E90" s="151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</row>
    <row r="91">
      <c r="A91" s="156"/>
      <c r="B91" s="151"/>
      <c r="C91" s="151"/>
      <c r="D91" s="151"/>
      <c r="E91" s="151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</row>
    <row r="92">
      <c r="A92" s="156"/>
      <c r="B92" s="151"/>
      <c r="C92" s="151"/>
      <c r="D92" s="151"/>
      <c r="E92" s="151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</row>
    <row r="93">
      <c r="A93" s="156"/>
      <c r="B93" s="151"/>
      <c r="C93" s="151"/>
      <c r="D93" s="151"/>
      <c r="E93" s="151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</row>
    <row r="94">
      <c r="A94" s="156"/>
      <c r="B94" s="151"/>
      <c r="C94" s="151"/>
      <c r="D94" s="151"/>
      <c r="E94" s="151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</row>
    <row r="95">
      <c r="A95" s="156"/>
      <c r="B95" s="151"/>
      <c r="C95" s="151"/>
      <c r="D95" s="151"/>
      <c r="E95" s="151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</row>
    <row r="96">
      <c r="A96" s="156"/>
      <c r="B96" s="151"/>
      <c r="C96" s="151"/>
      <c r="D96" s="151"/>
      <c r="E96" s="151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</row>
    <row r="97">
      <c r="A97" s="156"/>
      <c r="B97" s="151"/>
      <c r="C97" s="151"/>
      <c r="D97" s="151"/>
      <c r="E97" s="151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</row>
    <row r="98">
      <c r="A98" s="156"/>
      <c r="B98" s="151"/>
      <c r="C98" s="151"/>
      <c r="D98" s="151"/>
      <c r="E98" s="151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</row>
    <row r="99">
      <c r="A99" s="156"/>
      <c r="B99" s="151"/>
      <c r="C99" s="151"/>
      <c r="D99" s="151"/>
      <c r="E99" s="151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</row>
    <row r="100">
      <c r="A100" s="156"/>
      <c r="B100" s="151"/>
      <c r="C100" s="151"/>
      <c r="D100" s="151"/>
      <c r="E100" s="151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</row>
    <row r="101">
      <c r="A101" s="156"/>
      <c r="B101" s="151"/>
      <c r="C101" s="151"/>
      <c r="D101" s="151"/>
      <c r="E101" s="151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</row>
    <row r="102">
      <c r="A102" s="156"/>
      <c r="B102" s="151"/>
      <c r="C102" s="151"/>
      <c r="D102" s="151"/>
      <c r="E102" s="151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</row>
    <row r="103">
      <c r="A103" s="156"/>
      <c r="B103" s="151"/>
      <c r="C103" s="151"/>
      <c r="D103" s="151"/>
      <c r="E103" s="151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</row>
    <row r="104">
      <c r="A104" s="156"/>
      <c r="B104" s="151"/>
      <c r="C104" s="151"/>
      <c r="D104" s="151"/>
      <c r="E104" s="151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</row>
    <row r="105">
      <c r="A105" s="156"/>
      <c r="B105" s="151"/>
      <c r="C105" s="151"/>
      <c r="D105" s="151"/>
      <c r="E105" s="151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</row>
    <row r="106">
      <c r="A106" s="156"/>
      <c r="B106" s="151"/>
      <c r="C106" s="151"/>
      <c r="D106" s="151"/>
      <c r="E106" s="151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</row>
    <row r="107">
      <c r="A107" s="156"/>
      <c r="B107" s="151"/>
      <c r="C107" s="151"/>
      <c r="D107" s="151"/>
      <c r="E107" s="151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</row>
    <row r="108">
      <c r="A108" s="156"/>
      <c r="B108" s="151"/>
      <c r="C108" s="151"/>
      <c r="D108" s="151"/>
      <c r="E108" s="151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</row>
    <row r="109">
      <c r="A109" s="156"/>
      <c r="B109" s="151"/>
      <c r="C109" s="151"/>
      <c r="D109" s="151"/>
      <c r="E109" s="151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</row>
    <row r="110">
      <c r="A110" s="156"/>
      <c r="B110" s="151"/>
      <c r="C110" s="151"/>
      <c r="D110" s="151"/>
      <c r="E110" s="151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</row>
    <row r="111">
      <c r="A111" s="156"/>
      <c r="B111" s="151"/>
      <c r="C111" s="151"/>
      <c r="D111" s="151"/>
      <c r="E111" s="151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</row>
    <row r="112">
      <c r="A112" s="156"/>
      <c r="B112" s="151"/>
      <c r="C112" s="151"/>
      <c r="D112" s="151"/>
      <c r="E112" s="151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</row>
    <row r="113">
      <c r="A113" s="156"/>
      <c r="B113" s="151"/>
      <c r="C113" s="151"/>
      <c r="D113" s="151"/>
      <c r="E113" s="151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</row>
    <row r="114">
      <c r="A114" s="156"/>
      <c r="B114" s="151"/>
      <c r="C114" s="151"/>
      <c r="D114" s="151"/>
      <c r="E114" s="151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</row>
    <row r="115">
      <c r="A115" s="156"/>
      <c r="B115" s="151"/>
      <c r="C115" s="151"/>
      <c r="D115" s="151"/>
      <c r="E115" s="151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</row>
    <row r="116">
      <c r="A116" s="156"/>
      <c r="B116" s="151"/>
      <c r="C116" s="151"/>
      <c r="D116" s="151"/>
      <c r="E116" s="151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</row>
    <row r="117">
      <c r="A117" s="156"/>
      <c r="B117" s="151"/>
      <c r="C117" s="151"/>
      <c r="D117" s="151"/>
      <c r="E117" s="151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</row>
    <row r="118">
      <c r="A118" s="156"/>
      <c r="B118" s="151"/>
      <c r="C118" s="151"/>
      <c r="D118" s="151"/>
      <c r="E118" s="151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</row>
    <row r="119">
      <c r="A119" s="156"/>
      <c r="B119" s="151"/>
      <c r="C119" s="151"/>
      <c r="D119" s="151"/>
      <c r="E119" s="151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</row>
    <row r="120">
      <c r="A120" s="156"/>
      <c r="B120" s="151"/>
      <c r="C120" s="151"/>
      <c r="D120" s="151"/>
      <c r="E120" s="151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</row>
    <row r="121">
      <c r="A121" s="156"/>
      <c r="B121" s="151"/>
      <c r="C121" s="151"/>
      <c r="D121" s="151"/>
      <c r="E121" s="151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</row>
    <row r="122">
      <c r="A122" s="156"/>
      <c r="B122" s="151"/>
      <c r="C122" s="151"/>
      <c r="D122" s="151"/>
      <c r="E122" s="151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</row>
    <row r="123">
      <c r="A123" s="156"/>
      <c r="B123" s="151"/>
      <c r="C123" s="151"/>
      <c r="D123" s="151"/>
      <c r="E123" s="151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</row>
    <row r="124">
      <c r="A124" s="156"/>
      <c r="B124" s="151"/>
      <c r="C124" s="151"/>
      <c r="D124" s="151"/>
      <c r="E124" s="151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</row>
    <row r="125">
      <c r="A125" s="156"/>
      <c r="B125" s="151"/>
      <c r="C125" s="151"/>
      <c r="D125" s="151"/>
      <c r="E125" s="151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</row>
    <row r="126">
      <c r="A126" s="156"/>
      <c r="B126" s="151"/>
      <c r="C126" s="151"/>
      <c r="D126" s="151"/>
      <c r="E126" s="151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</row>
    <row r="127">
      <c r="A127" s="156"/>
      <c r="B127" s="151"/>
      <c r="C127" s="151"/>
      <c r="D127" s="151"/>
      <c r="E127" s="151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</row>
    <row r="128">
      <c r="A128" s="156"/>
      <c r="B128" s="151"/>
      <c r="C128" s="151"/>
      <c r="D128" s="151"/>
      <c r="E128" s="151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</row>
    <row r="129">
      <c r="A129" s="156"/>
      <c r="B129" s="151"/>
      <c r="C129" s="151"/>
      <c r="D129" s="151"/>
      <c r="E129" s="151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</row>
    <row r="130">
      <c r="A130" s="156"/>
      <c r="B130" s="151"/>
      <c r="C130" s="151"/>
      <c r="D130" s="151"/>
      <c r="E130" s="151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</row>
    <row r="131">
      <c r="A131" s="156"/>
      <c r="B131" s="151"/>
      <c r="C131" s="151"/>
      <c r="D131" s="151"/>
      <c r="E131" s="151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</row>
    <row r="132">
      <c r="A132" s="156"/>
      <c r="B132" s="151"/>
      <c r="C132" s="151"/>
      <c r="D132" s="151"/>
      <c r="E132" s="151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</row>
    <row r="133">
      <c r="A133" s="156"/>
      <c r="B133" s="151"/>
      <c r="C133" s="151"/>
      <c r="D133" s="151"/>
      <c r="E133" s="151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</row>
    <row r="134">
      <c r="A134" s="156"/>
      <c r="B134" s="151"/>
      <c r="C134" s="151"/>
      <c r="D134" s="151"/>
      <c r="E134" s="151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</row>
    <row r="135">
      <c r="A135" s="156"/>
      <c r="B135" s="151"/>
      <c r="C135" s="151"/>
      <c r="D135" s="151"/>
      <c r="E135" s="151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</row>
    <row r="136">
      <c r="A136" s="156"/>
      <c r="B136" s="151"/>
      <c r="C136" s="151"/>
      <c r="D136" s="151"/>
      <c r="E136" s="151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</row>
    <row r="137">
      <c r="A137" s="156"/>
      <c r="B137" s="151"/>
      <c r="C137" s="151"/>
      <c r="D137" s="151"/>
      <c r="E137" s="151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</row>
    <row r="138">
      <c r="A138" s="156"/>
      <c r="B138" s="151"/>
      <c r="C138" s="151"/>
      <c r="D138" s="151"/>
      <c r="E138" s="151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</row>
    <row r="139">
      <c r="A139" s="156"/>
      <c r="B139" s="151"/>
      <c r="C139" s="151"/>
      <c r="D139" s="151"/>
      <c r="E139" s="151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</row>
    <row r="140">
      <c r="A140" s="156"/>
      <c r="B140" s="151"/>
      <c r="C140" s="151"/>
      <c r="D140" s="151"/>
      <c r="E140" s="151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</row>
    <row r="141">
      <c r="A141" s="156"/>
      <c r="B141" s="151"/>
      <c r="C141" s="151"/>
      <c r="D141" s="151"/>
      <c r="E141" s="151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</row>
    <row r="142">
      <c r="A142" s="156"/>
      <c r="B142" s="151"/>
      <c r="C142" s="151"/>
      <c r="D142" s="151"/>
      <c r="E142" s="151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</row>
    <row r="143">
      <c r="A143" s="156"/>
      <c r="B143" s="151"/>
      <c r="C143" s="151"/>
      <c r="D143" s="151"/>
      <c r="E143" s="151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</row>
    <row r="144">
      <c r="A144" s="156"/>
      <c r="B144" s="151"/>
      <c r="C144" s="151"/>
      <c r="D144" s="151"/>
      <c r="E144" s="151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</row>
    <row r="145">
      <c r="A145" s="156"/>
      <c r="B145" s="151"/>
      <c r="C145" s="151"/>
      <c r="D145" s="151"/>
      <c r="E145" s="151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</row>
    <row r="146">
      <c r="A146" s="156"/>
      <c r="B146" s="151"/>
      <c r="C146" s="151"/>
      <c r="D146" s="151"/>
      <c r="E146" s="151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</row>
    <row r="147">
      <c r="A147" s="156"/>
      <c r="B147" s="151"/>
      <c r="C147" s="151"/>
      <c r="D147" s="151"/>
      <c r="E147" s="151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</row>
    <row r="148">
      <c r="A148" s="156"/>
      <c r="B148" s="151"/>
      <c r="C148" s="151"/>
      <c r="D148" s="151"/>
      <c r="E148" s="151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</row>
    <row r="149">
      <c r="A149" s="156"/>
      <c r="B149" s="151"/>
      <c r="C149" s="151"/>
      <c r="D149" s="151"/>
      <c r="E149" s="151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</row>
    <row r="150">
      <c r="A150" s="156"/>
      <c r="B150" s="151"/>
      <c r="C150" s="151"/>
      <c r="D150" s="151"/>
      <c r="E150" s="151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</row>
    <row r="151">
      <c r="A151" s="156"/>
      <c r="B151" s="151"/>
      <c r="C151" s="151"/>
      <c r="D151" s="151"/>
      <c r="E151" s="151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</row>
    <row r="152">
      <c r="A152" s="156"/>
      <c r="B152" s="151"/>
      <c r="C152" s="151"/>
      <c r="D152" s="151"/>
      <c r="E152" s="151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</row>
    <row r="153">
      <c r="A153" s="156"/>
      <c r="B153" s="151"/>
      <c r="C153" s="151"/>
      <c r="D153" s="151"/>
      <c r="E153" s="151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</row>
    <row r="154">
      <c r="A154" s="156"/>
      <c r="B154" s="151"/>
      <c r="C154" s="151"/>
      <c r="D154" s="151"/>
      <c r="E154" s="151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</row>
    <row r="155">
      <c r="A155" s="156"/>
      <c r="B155" s="151"/>
      <c r="C155" s="151"/>
      <c r="D155" s="151"/>
      <c r="E155" s="151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</row>
    <row r="156">
      <c r="A156" s="156"/>
      <c r="B156" s="151"/>
      <c r="C156" s="151"/>
      <c r="D156" s="151"/>
      <c r="E156" s="151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</row>
    <row r="157">
      <c r="A157" s="156"/>
      <c r="B157" s="151"/>
      <c r="C157" s="151"/>
      <c r="D157" s="151"/>
      <c r="E157" s="151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</row>
    <row r="158">
      <c r="A158" s="156"/>
      <c r="B158" s="151"/>
      <c r="C158" s="151"/>
      <c r="D158" s="151"/>
      <c r="E158" s="151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</row>
    <row r="159">
      <c r="A159" s="156"/>
      <c r="B159" s="151"/>
      <c r="C159" s="151"/>
      <c r="D159" s="151"/>
      <c r="E159" s="151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</row>
    <row r="160">
      <c r="A160" s="156"/>
      <c r="B160" s="151"/>
      <c r="C160" s="151"/>
      <c r="D160" s="151"/>
      <c r="E160" s="151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</row>
    <row r="161">
      <c r="A161" s="156"/>
      <c r="B161" s="151"/>
      <c r="C161" s="151"/>
      <c r="D161" s="151"/>
      <c r="E161" s="151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</row>
    <row r="162">
      <c r="A162" s="156"/>
      <c r="B162" s="151"/>
      <c r="C162" s="151"/>
      <c r="D162" s="151"/>
      <c r="E162" s="151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</row>
    <row r="163">
      <c r="A163" s="156"/>
      <c r="B163" s="151"/>
      <c r="C163" s="151"/>
      <c r="D163" s="151"/>
      <c r="E163" s="151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</row>
    <row r="164">
      <c r="A164" s="156"/>
      <c r="B164" s="151"/>
      <c r="C164" s="151"/>
      <c r="D164" s="151"/>
      <c r="E164" s="151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</row>
    <row r="165">
      <c r="A165" s="156"/>
      <c r="B165" s="151"/>
      <c r="C165" s="151"/>
      <c r="D165" s="151"/>
      <c r="E165" s="151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</row>
    <row r="166">
      <c r="A166" s="156"/>
      <c r="B166" s="151"/>
      <c r="C166" s="151"/>
      <c r="D166" s="151"/>
      <c r="E166" s="151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</row>
    <row r="167">
      <c r="A167" s="156"/>
      <c r="B167" s="151"/>
      <c r="C167" s="151"/>
      <c r="D167" s="151"/>
      <c r="E167" s="151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</row>
    <row r="168">
      <c r="A168" s="156"/>
      <c r="B168" s="151"/>
      <c r="C168" s="151"/>
      <c r="D168" s="151"/>
      <c r="E168" s="151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</row>
    <row r="169">
      <c r="A169" s="156"/>
      <c r="B169" s="151"/>
      <c r="C169" s="151"/>
      <c r="D169" s="151"/>
      <c r="E169" s="151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</row>
    <row r="170">
      <c r="A170" s="156"/>
      <c r="B170" s="151"/>
      <c r="C170" s="151"/>
      <c r="D170" s="151"/>
      <c r="E170" s="151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</row>
    <row r="171">
      <c r="A171" s="156"/>
      <c r="B171" s="151"/>
      <c r="C171" s="151"/>
      <c r="D171" s="151"/>
      <c r="E171" s="151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</row>
    <row r="172">
      <c r="A172" s="156"/>
      <c r="B172" s="151"/>
      <c r="C172" s="151"/>
      <c r="D172" s="151"/>
      <c r="E172" s="151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</row>
    <row r="173">
      <c r="A173" s="156"/>
      <c r="B173" s="151"/>
      <c r="C173" s="151"/>
      <c r="D173" s="151"/>
      <c r="E173" s="151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</row>
    <row r="174">
      <c r="A174" s="156"/>
      <c r="B174" s="151"/>
      <c r="C174" s="151"/>
      <c r="D174" s="151"/>
      <c r="E174" s="151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</row>
    <row r="175">
      <c r="A175" s="156"/>
      <c r="B175" s="151"/>
      <c r="C175" s="151"/>
      <c r="D175" s="151"/>
      <c r="E175" s="151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</row>
    <row r="176">
      <c r="A176" s="156"/>
      <c r="B176" s="151"/>
      <c r="C176" s="151"/>
      <c r="D176" s="151"/>
      <c r="E176" s="151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</row>
    <row r="177">
      <c r="A177" s="156"/>
      <c r="B177" s="151"/>
      <c r="C177" s="151"/>
      <c r="D177" s="151"/>
      <c r="E177" s="151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</row>
    <row r="178">
      <c r="A178" s="156"/>
      <c r="B178" s="151"/>
      <c r="C178" s="151"/>
      <c r="D178" s="151"/>
      <c r="E178" s="151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</row>
    <row r="179">
      <c r="A179" s="156"/>
      <c r="B179" s="151"/>
      <c r="C179" s="151"/>
      <c r="D179" s="151"/>
      <c r="E179" s="151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</row>
    <row r="180">
      <c r="A180" s="156"/>
      <c r="B180" s="151"/>
      <c r="C180" s="151"/>
      <c r="D180" s="151"/>
      <c r="E180" s="151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</row>
    <row r="181">
      <c r="A181" s="156"/>
      <c r="B181" s="151"/>
      <c r="C181" s="151"/>
      <c r="D181" s="151"/>
      <c r="E181" s="151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</row>
    <row r="182">
      <c r="A182" s="156"/>
      <c r="B182" s="151"/>
      <c r="C182" s="151"/>
      <c r="D182" s="151"/>
      <c r="E182" s="151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</row>
    <row r="183">
      <c r="A183" s="156"/>
      <c r="B183" s="151"/>
      <c r="C183" s="151"/>
      <c r="D183" s="151"/>
      <c r="E183" s="151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</row>
    <row r="184">
      <c r="A184" s="156"/>
      <c r="B184" s="151"/>
      <c r="C184" s="151"/>
      <c r="D184" s="151"/>
      <c r="E184" s="151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</row>
    <row r="185">
      <c r="A185" s="156"/>
      <c r="B185" s="151"/>
      <c r="C185" s="151"/>
      <c r="D185" s="151"/>
      <c r="E185" s="151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</row>
    <row r="186">
      <c r="A186" s="156"/>
      <c r="B186" s="151"/>
      <c r="C186" s="151"/>
      <c r="D186" s="151"/>
      <c r="E186" s="151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</row>
    <row r="187">
      <c r="A187" s="156"/>
      <c r="B187" s="151"/>
      <c r="C187" s="151"/>
      <c r="D187" s="151"/>
      <c r="E187" s="151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</row>
    <row r="188">
      <c r="A188" s="156"/>
      <c r="B188" s="151"/>
      <c r="C188" s="151"/>
      <c r="D188" s="151"/>
      <c r="E188" s="151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</row>
    <row r="189">
      <c r="A189" s="156"/>
      <c r="B189" s="151"/>
      <c r="C189" s="151"/>
      <c r="D189" s="151"/>
      <c r="E189" s="151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</row>
    <row r="190">
      <c r="A190" s="156"/>
      <c r="B190" s="151"/>
      <c r="C190" s="151"/>
      <c r="D190" s="151"/>
      <c r="E190" s="151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</row>
    <row r="191">
      <c r="A191" s="156"/>
      <c r="B191" s="151"/>
      <c r="C191" s="151"/>
      <c r="D191" s="151"/>
      <c r="E191" s="151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</row>
    <row r="192">
      <c r="A192" s="156"/>
      <c r="B192" s="151"/>
      <c r="C192" s="151"/>
      <c r="D192" s="151"/>
      <c r="E192" s="151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</row>
    <row r="193">
      <c r="A193" s="156"/>
      <c r="B193" s="151"/>
      <c r="C193" s="151"/>
      <c r="D193" s="151"/>
      <c r="E193" s="151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</row>
    <row r="194">
      <c r="A194" s="156"/>
      <c r="B194" s="151"/>
      <c r="C194" s="151"/>
      <c r="D194" s="151"/>
      <c r="E194" s="151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</row>
    <row r="195">
      <c r="A195" s="156"/>
      <c r="B195" s="151"/>
      <c r="C195" s="151"/>
      <c r="D195" s="151"/>
      <c r="E195" s="151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</row>
    <row r="196">
      <c r="A196" s="156"/>
      <c r="B196" s="151"/>
      <c r="C196" s="151"/>
      <c r="D196" s="151"/>
      <c r="E196" s="151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</row>
    <row r="197">
      <c r="A197" s="156"/>
      <c r="B197" s="151"/>
      <c r="C197" s="151"/>
      <c r="D197" s="151"/>
      <c r="E197" s="151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</row>
    <row r="198">
      <c r="A198" s="156"/>
      <c r="B198" s="151"/>
      <c r="C198" s="151"/>
      <c r="D198" s="151"/>
      <c r="E198" s="151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</row>
    <row r="199">
      <c r="A199" s="156"/>
      <c r="B199" s="151"/>
      <c r="C199" s="151"/>
      <c r="D199" s="151"/>
      <c r="E199" s="151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</row>
    <row r="200">
      <c r="A200" s="156"/>
      <c r="B200" s="151"/>
      <c r="C200" s="151"/>
      <c r="D200" s="151"/>
      <c r="E200" s="151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</row>
    <row r="201">
      <c r="A201" s="156"/>
      <c r="B201" s="151"/>
      <c r="C201" s="151"/>
      <c r="D201" s="151"/>
      <c r="E201" s="151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</row>
    <row r="202">
      <c r="A202" s="156"/>
      <c r="B202" s="151"/>
      <c r="C202" s="151"/>
      <c r="D202" s="151"/>
      <c r="E202" s="151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</row>
    <row r="203">
      <c r="A203" s="156"/>
      <c r="B203" s="151"/>
      <c r="C203" s="151"/>
      <c r="D203" s="151"/>
      <c r="E203" s="151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</row>
    <row r="204">
      <c r="A204" s="156"/>
      <c r="B204" s="151"/>
      <c r="C204" s="151"/>
      <c r="D204" s="151"/>
      <c r="E204" s="151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</row>
    <row r="205">
      <c r="A205" s="156"/>
      <c r="B205" s="151"/>
      <c r="C205" s="151"/>
      <c r="D205" s="151"/>
      <c r="E205" s="151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</row>
    <row r="206">
      <c r="A206" s="156"/>
      <c r="B206" s="151"/>
      <c r="C206" s="151"/>
      <c r="D206" s="151"/>
      <c r="E206" s="151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</row>
    <row r="207">
      <c r="A207" s="156"/>
      <c r="B207" s="151"/>
      <c r="C207" s="151"/>
      <c r="D207" s="151"/>
      <c r="E207" s="151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</row>
    <row r="208">
      <c r="A208" s="156"/>
      <c r="B208" s="151"/>
      <c r="C208" s="151"/>
      <c r="D208" s="151"/>
      <c r="E208" s="151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</row>
    <row r="209">
      <c r="A209" s="156"/>
      <c r="B209" s="151"/>
      <c r="C209" s="151"/>
      <c r="D209" s="151"/>
      <c r="E209" s="151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</row>
    <row r="210">
      <c r="A210" s="156"/>
      <c r="B210" s="151"/>
      <c r="C210" s="151"/>
      <c r="D210" s="151"/>
      <c r="E210" s="151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</row>
    <row r="211">
      <c r="A211" s="156"/>
      <c r="B211" s="151"/>
      <c r="C211" s="151"/>
      <c r="D211" s="151"/>
      <c r="E211" s="151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</row>
    <row r="212">
      <c r="A212" s="156"/>
      <c r="B212" s="151"/>
      <c r="C212" s="151"/>
      <c r="D212" s="151"/>
      <c r="E212" s="151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</row>
    <row r="213">
      <c r="A213" s="156"/>
      <c r="B213" s="151"/>
      <c r="C213" s="151"/>
      <c r="D213" s="151"/>
      <c r="E213" s="151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</row>
    <row r="214">
      <c r="A214" s="156"/>
      <c r="B214" s="151"/>
      <c r="C214" s="151"/>
      <c r="D214" s="151"/>
      <c r="E214" s="151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</row>
    <row r="215">
      <c r="A215" s="156"/>
      <c r="B215" s="151"/>
      <c r="C215" s="151"/>
      <c r="D215" s="151"/>
      <c r="E215" s="151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</row>
    <row r="216">
      <c r="A216" s="156"/>
      <c r="B216" s="151"/>
      <c r="C216" s="151"/>
      <c r="D216" s="151"/>
      <c r="E216" s="151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</row>
    <row r="217">
      <c r="A217" s="156"/>
      <c r="B217" s="151"/>
      <c r="C217" s="151"/>
      <c r="D217" s="151"/>
      <c r="E217" s="151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</row>
    <row r="218">
      <c r="A218" s="156"/>
      <c r="B218" s="151"/>
      <c r="C218" s="151"/>
      <c r="D218" s="151"/>
      <c r="E218" s="151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</row>
    <row r="219">
      <c r="A219" s="156"/>
      <c r="B219" s="151"/>
      <c r="C219" s="151"/>
      <c r="D219" s="151"/>
      <c r="E219" s="151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</row>
    <row r="220">
      <c r="A220" s="156"/>
      <c r="B220" s="151"/>
      <c r="C220" s="151"/>
      <c r="D220" s="151"/>
      <c r="E220" s="151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</row>
    <row r="221">
      <c r="A221" s="156"/>
      <c r="B221" s="151"/>
      <c r="C221" s="151"/>
      <c r="D221" s="151"/>
      <c r="E221" s="151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</row>
    <row r="222">
      <c r="A222" s="156"/>
      <c r="B222" s="151"/>
      <c r="C222" s="151"/>
      <c r="D222" s="151"/>
      <c r="E222" s="151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</row>
    <row r="223">
      <c r="A223" s="156"/>
      <c r="B223" s="151"/>
      <c r="C223" s="151"/>
      <c r="D223" s="151"/>
      <c r="E223" s="151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</row>
    <row r="224">
      <c r="A224" s="156"/>
      <c r="B224" s="151"/>
      <c r="C224" s="151"/>
      <c r="D224" s="151"/>
      <c r="E224" s="151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</row>
    <row r="225">
      <c r="A225" s="156"/>
      <c r="B225" s="151"/>
      <c r="C225" s="151"/>
      <c r="D225" s="151"/>
      <c r="E225" s="151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</row>
    <row r="226">
      <c r="A226" s="156"/>
      <c r="B226" s="151"/>
      <c r="C226" s="151"/>
      <c r="D226" s="151"/>
      <c r="E226" s="151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</row>
    <row r="227">
      <c r="A227" s="156"/>
      <c r="B227" s="151"/>
      <c r="C227" s="151"/>
      <c r="D227" s="151"/>
      <c r="E227" s="151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</row>
    <row r="228">
      <c r="A228" s="156"/>
      <c r="B228" s="151"/>
      <c r="C228" s="151"/>
      <c r="D228" s="151"/>
      <c r="E228" s="151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</row>
    <row r="229">
      <c r="A229" s="156"/>
      <c r="B229" s="151"/>
      <c r="C229" s="151"/>
      <c r="D229" s="151"/>
      <c r="E229" s="151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</row>
    <row r="230">
      <c r="A230" s="156"/>
      <c r="B230" s="151"/>
      <c r="C230" s="151"/>
      <c r="D230" s="151"/>
      <c r="E230" s="151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</row>
    <row r="231">
      <c r="A231" s="156"/>
      <c r="B231" s="151"/>
      <c r="C231" s="151"/>
      <c r="D231" s="151"/>
      <c r="E231" s="151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</row>
    <row r="232">
      <c r="A232" s="156"/>
      <c r="B232" s="151"/>
      <c r="C232" s="151"/>
      <c r="D232" s="151"/>
      <c r="E232" s="151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</row>
    <row r="233">
      <c r="A233" s="156"/>
      <c r="B233" s="151"/>
      <c r="C233" s="151"/>
      <c r="D233" s="151"/>
      <c r="E233" s="151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</row>
    <row r="234">
      <c r="A234" s="156"/>
      <c r="B234" s="151"/>
      <c r="C234" s="151"/>
      <c r="D234" s="151"/>
      <c r="E234" s="151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</row>
    <row r="235">
      <c r="A235" s="156"/>
      <c r="B235" s="151"/>
      <c r="C235" s="151"/>
      <c r="D235" s="151"/>
      <c r="E235" s="151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</row>
    <row r="236">
      <c r="A236" s="156"/>
      <c r="B236" s="151"/>
      <c r="C236" s="151"/>
      <c r="D236" s="151"/>
      <c r="E236" s="151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</row>
    <row r="237">
      <c r="A237" s="156"/>
      <c r="B237" s="151"/>
      <c r="C237" s="151"/>
      <c r="D237" s="151"/>
      <c r="E237" s="151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</row>
    <row r="238">
      <c r="A238" s="156"/>
      <c r="B238" s="151"/>
      <c r="C238" s="151"/>
      <c r="D238" s="151"/>
      <c r="E238" s="151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</row>
    <row r="239">
      <c r="A239" s="156"/>
      <c r="B239" s="151"/>
      <c r="C239" s="151"/>
      <c r="D239" s="151"/>
      <c r="E239" s="151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</row>
    <row r="240">
      <c r="A240" s="156"/>
      <c r="B240" s="151"/>
      <c r="C240" s="151"/>
      <c r="D240" s="151"/>
      <c r="E240" s="151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</row>
    <row r="241">
      <c r="A241" s="156"/>
      <c r="B241" s="151"/>
      <c r="C241" s="151"/>
      <c r="D241" s="151"/>
      <c r="E241" s="151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</row>
    <row r="242">
      <c r="A242" s="156"/>
      <c r="B242" s="151"/>
      <c r="C242" s="151"/>
      <c r="D242" s="151"/>
      <c r="E242" s="151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</row>
    <row r="243">
      <c r="A243" s="156"/>
      <c r="B243" s="151"/>
      <c r="C243" s="151"/>
      <c r="D243" s="151"/>
      <c r="E243" s="151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</row>
    <row r="244">
      <c r="A244" s="156"/>
      <c r="B244" s="151"/>
      <c r="C244" s="151"/>
      <c r="D244" s="151"/>
      <c r="E244" s="151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</row>
    <row r="245">
      <c r="A245" s="156"/>
      <c r="B245" s="151"/>
      <c r="C245" s="151"/>
      <c r="D245" s="151"/>
      <c r="E245" s="151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</row>
    <row r="246">
      <c r="A246" s="156"/>
      <c r="B246" s="151"/>
      <c r="C246" s="151"/>
      <c r="D246" s="151"/>
      <c r="E246" s="151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</row>
    <row r="247">
      <c r="A247" s="156"/>
      <c r="B247" s="151"/>
      <c r="C247" s="151"/>
      <c r="D247" s="151"/>
      <c r="E247" s="151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</row>
    <row r="248">
      <c r="A248" s="156"/>
      <c r="B248" s="151"/>
      <c r="C248" s="151"/>
      <c r="D248" s="151"/>
      <c r="E248" s="151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</row>
    <row r="249">
      <c r="A249" s="156"/>
      <c r="B249" s="151"/>
      <c r="C249" s="151"/>
      <c r="D249" s="151"/>
      <c r="E249" s="151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</row>
    <row r="250">
      <c r="A250" s="156"/>
      <c r="B250" s="151"/>
      <c r="C250" s="151"/>
      <c r="D250" s="151"/>
      <c r="E250" s="151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</row>
    <row r="251">
      <c r="A251" s="156"/>
      <c r="B251" s="151"/>
      <c r="C251" s="151"/>
      <c r="D251" s="151"/>
      <c r="E251" s="151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</row>
    <row r="252">
      <c r="A252" s="156"/>
      <c r="B252" s="151"/>
      <c r="C252" s="151"/>
      <c r="D252" s="151"/>
      <c r="E252" s="151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</row>
    <row r="253">
      <c r="A253" s="156"/>
      <c r="B253" s="151"/>
      <c r="C253" s="151"/>
      <c r="D253" s="151"/>
      <c r="E253" s="151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</row>
    <row r="254">
      <c r="A254" s="156"/>
      <c r="B254" s="151"/>
      <c r="C254" s="151"/>
      <c r="D254" s="151"/>
      <c r="E254" s="151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</row>
    <row r="255">
      <c r="A255" s="156"/>
      <c r="B255" s="151"/>
      <c r="C255" s="151"/>
      <c r="D255" s="151"/>
      <c r="E255" s="151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</row>
    <row r="256">
      <c r="A256" s="156"/>
      <c r="B256" s="151"/>
      <c r="C256" s="151"/>
      <c r="D256" s="151"/>
      <c r="E256" s="151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</row>
    <row r="257">
      <c r="A257" s="156"/>
      <c r="B257" s="151"/>
      <c r="C257" s="151"/>
      <c r="D257" s="151"/>
      <c r="E257" s="151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</row>
    <row r="258">
      <c r="A258" s="156"/>
      <c r="B258" s="151"/>
      <c r="C258" s="151"/>
      <c r="D258" s="151"/>
      <c r="E258" s="151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</row>
    <row r="259">
      <c r="A259" s="156"/>
      <c r="B259" s="151"/>
      <c r="C259" s="151"/>
      <c r="D259" s="151"/>
      <c r="E259" s="151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</row>
    <row r="260">
      <c r="A260" s="156"/>
      <c r="B260" s="151"/>
      <c r="C260" s="151"/>
      <c r="D260" s="151"/>
      <c r="E260" s="151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</row>
    <row r="261">
      <c r="A261" s="156"/>
      <c r="B261" s="151"/>
      <c r="C261" s="151"/>
      <c r="D261" s="151"/>
      <c r="E261" s="151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</row>
    <row r="262">
      <c r="A262" s="156"/>
      <c r="B262" s="151"/>
      <c r="C262" s="151"/>
      <c r="D262" s="151"/>
      <c r="E262" s="151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</row>
    <row r="263">
      <c r="A263" s="156"/>
      <c r="B263" s="151"/>
      <c r="C263" s="151"/>
      <c r="D263" s="151"/>
      <c r="E263" s="151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</row>
    <row r="264">
      <c r="A264" s="156"/>
      <c r="B264" s="151"/>
      <c r="C264" s="151"/>
      <c r="D264" s="151"/>
      <c r="E264" s="151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</row>
    <row r="265">
      <c r="A265" s="156"/>
      <c r="B265" s="151"/>
      <c r="C265" s="151"/>
      <c r="D265" s="151"/>
      <c r="E265" s="151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</row>
    <row r="266">
      <c r="A266" s="156"/>
      <c r="B266" s="151"/>
      <c r="C266" s="151"/>
      <c r="D266" s="151"/>
      <c r="E266" s="151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</row>
    <row r="267">
      <c r="A267" s="156"/>
      <c r="B267" s="151"/>
      <c r="C267" s="151"/>
      <c r="D267" s="151"/>
      <c r="E267" s="151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</row>
    <row r="268">
      <c r="A268" s="156"/>
      <c r="B268" s="151"/>
      <c r="C268" s="151"/>
      <c r="D268" s="151"/>
      <c r="E268" s="151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</row>
    <row r="269">
      <c r="A269" s="156"/>
      <c r="B269" s="151"/>
      <c r="C269" s="151"/>
      <c r="D269" s="151"/>
      <c r="E269" s="151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</row>
    <row r="270">
      <c r="A270" s="156"/>
      <c r="B270" s="151"/>
      <c r="C270" s="151"/>
      <c r="D270" s="151"/>
      <c r="E270" s="151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</row>
    <row r="271">
      <c r="A271" s="156"/>
      <c r="B271" s="151"/>
      <c r="C271" s="151"/>
      <c r="D271" s="151"/>
      <c r="E271" s="151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</row>
    <row r="272">
      <c r="A272" s="156"/>
      <c r="B272" s="151"/>
      <c r="C272" s="151"/>
      <c r="D272" s="151"/>
      <c r="E272" s="151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</row>
    <row r="273">
      <c r="A273" s="156"/>
      <c r="B273" s="151"/>
      <c r="C273" s="151"/>
      <c r="D273" s="151"/>
      <c r="E273" s="151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</row>
    <row r="274">
      <c r="A274" s="156"/>
      <c r="B274" s="151"/>
      <c r="C274" s="151"/>
      <c r="D274" s="151"/>
      <c r="E274" s="151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</row>
    <row r="275">
      <c r="A275" s="156"/>
      <c r="B275" s="151"/>
      <c r="C275" s="151"/>
      <c r="D275" s="151"/>
      <c r="E275" s="151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</row>
    <row r="276">
      <c r="A276" s="156"/>
      <c r="B276" s="151"/>
      <c r="C276" s="151"/>
      <c r="D276" s="151"/>
      <c r="E276" s="151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</row>
    <row r="277">
      <c r="A277" s="156"/>
      <c r="B277" s="151"/>
      <c r="C277" s="151"/>
      <c r="D277" s="151"/>
      <c r="E277" s="151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</row>
    <row r="278">
      <c r="A278" s="156"/>
      <c r="B278" s="151"/>
      <c r="C278" s="151"/>
      <c r="D278" s="151"/>
      <c r="E278" s="151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</row>
    <row r="279">
      <c r="A279" s="156"/>
      <c r="B279" s="151"/>
      <c r="C279" s="151"/>
      <c r="D279" s="151"/>
      <c r="E279" s="151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</row>
    <row r="280">
      <c r="A280" s="156"/>
      <c r="B280" s="151"/>
      <c r="C280" s="151"/>
      <c r="D280" s="151"/>
      <c r="E280" s="151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</row>
    <row r="281">
      <c r="A281" s="156"/>
      <c r="B281" s="151"/>
      <c r="C281" s="151"/>
      <c r="D281" s="151"/>
      <c r="E281" s="151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</row>
    <row r="282">
      <c r="A282" s="156"/>
      <c r="B282" s="151"/>
      <c r="C282" s="151"/>
      <c r="D282" s="151"/>
      <c r="E282" s="151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</row>
    <row r="283">
      <c r="A283" s="156"/>
      <c r="B283" s="151"/>
      <c r="C283" s="151"/>
      <c r="D283" s="151"/>
      <c r="E283" s="151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</row>
    <row r="284">
      <c r="A284" s="156"/>
      <c r="B284" s="151"/>
      <c r="C284" s="151"/>
      <c r="D284" s="151"/>
      <c r="E284" s="151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</row>
    <row r="285">
      <c r="A285" s="156"/>
      <c r="B285" s="151"/>
      <c r="C285" s="151"/>
      <c r="D285" s="151"/>
      <c r="E285" s="151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</row>
    <row r="286">
      <c r="A286" s="156"/>
      <c r="B286" s="151"/>
      <c r="C286" s="151"/>
      <c r="D286" s="151"/>
      <c r="E286" s="151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</row>
    <row r="287">
      <c r="A287" s="156"/>
      <c r="B287" s="151"/>
      <c r="C287" s="151"/>
      <c r="D287" s="151"/>
      <c r="E287" s="151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</row>
    <row r="288">
      <c r="A288" s="156"/>
      <c r="B288" s="151"/>
      <c r="C288" s="151"/>
      <c r="D288" s="151"/>
      <c r="E288" s="151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</row>
    <row r="289">
      <c r="A289" s="156"/>
      <c r="B289" s="151"/>
      <c r="C289" s="151"/>
      <c r="D289" s="151"/>
      <c r="E289" s="151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</row>
    <row r="290">
      <c r="A290" s="156"/>
      <c r="B290" s="151"/>
      <c r="C290" s="151"/>
      <c r="D290" s="151"/>
      <c r="E290" s="151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</row>
    <row r="291">
      <c r="A291" s="156"/>
      <c r="B291" s="151"/>
      <c r="C291" s="151"/>
      <c r="D291" s="151"/>
      <c r="E291" s="151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</row>
    <row r="292">
      <c r="A292" s="156"/>
      <c r="B292" s="151"/>
      <c r="C292" s="151"/>
      <c r="D292" s="151"/>
      <c r="E292" s="151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</row>
    <row r="293">
      <c r="A293" s="156"/>
      <c r="B293" s="151"/>
      <c r="C293" s="151"/>
      <c r="D293" s="151"/>
      <c r="E293" s="151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</row>
    <row r="294">
      <c r="A294" s="156"/>
      <c r="B294" s="151"/>
      <c r="C294" s="151"/>
      <c r="D294" s="151"/>
      <c r="E294" s="151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</row>
    <row r="295">
      <c r="A295" s="156"/>
      <c r="B295" s="151"/>
      <c r="C295" s="151"/>
      <c r="D295" s="151"/>
      <c r="E295" s="151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</row>
    <row r="296">
      <c r="A296" s="156"/>
      <c r="B296" s="151"/>
      <c r="C296" s="151"/>
      <c r="D296" s="151"/>
      <c r="E296" s="151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</row>
    <row r="297">
      <c r="A297" s="156"/>
      <c r="B297" s="151"/>
      <c r="C297" s="151"/>
      <c r="D297" s="151"/>
      <c r="E297" s="151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</row>
    <row r="298">
      <c r="A298" s="156"/>
      <c r="B298" s="151"/>
      <c r="C298" s="151"/>
      <c r="D298" s="151"/>
      <c r="E298" s="151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</row>
    <row r="299">
      <c r="A299" s="156"/>
      <c r="B299" s="151"/>
      <c r="C299" s="151"/>
      <c r="D299" s="151"/>
      <c r="E299" s="151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</row>
    <row r="300">
      <c r="A300" s="156"/>
      <c r="B300" s="151"/>
      <c r="C300" s="151"/>
      <c r="D300" s="151"/>
      <c r="E300" s="151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</row>
    <row r="301">
      <c r="A301" s="156"/>
      <c r="B301" s="151"/>
      <c r="C301" s="151"/>
      <c r="D301" s="151"/>
      <c r="E301" s="151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</row>
    <row r="302">
      <c r="A302" s="156"/>
      <c r="B302" s="151"/>
      <c r="C302" s="151"/>
      <c r="D302" s="151"/>
      <c r="E302" s="151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</row>
    <row r="303">
      <c r="A303" s="156"/>
      <c r="B303" s="151"/>
      <c r="C303" s="151"/>
      <c r="D303" s="151"/>
      <c r="E303" s="151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</row>
    <row r="304">
      <c r="A304" s="156"/>
      <c r="B304" s="151"/>
      <c r="C304" s="151"/>
      <c r="D304" s="151"/>
      <c r="E304" s="151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</row>
    <row r="305">
      <c r="A305" s="156"/>
      <c r="B305" s="151"/>
      <c r="C305" s="151"/>
      <c r="D305" s="151"/>
      <c r="E305" s="151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</row>
    <row r="306">
      <c r="A306" s="156"/>
      <c r="B306" s="151"/>
      <c r="C306" s="151"/>
      <c r="D306" s="151"/>
      <c r="E306" s="151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</row>
    <row r="307">
      <c r="A307" s="156"/>
      <c r="B307" s="151"/>
      <c r="C307" s="151"/>
      <c r="D307" s="151"/>
      <c r="E307" s="151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</row>
    <row r="308">
      <c r="A308" s="156"/>
      <c r="B308" s="151"/>
      <c r="C308" s="151"/>
      <c r="D308" s="151"/>
      <c r="E308" s="151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</row>
    <row r="309">
      <c r="A309" s="156"/>
      <c r="B309" s="151"/>
      <c r="C309" s="151"/>
      <c r="D309" s="151"/>
      <c r="E309" s="151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</row>
    <row r="310">
      <c r="A310" s="156"/>
      <c r="B310" s="151"/>
      <c r="C310" s="151"/>
      <c r="D310" s="151"/>
      <c r="E310" s="151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</row>
    <row r="311">
      <c r="A311" s="156"/>
      <c r="B311" s="151"/>
      <c r="C311" s="151"/>
      <c r="D311" s="151"/>
      <c r="E311" s="151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</row>
    <row r="312">
      <c r="A312" s="156"/>
      <c r="B312" s="151"/>
      <c r="C312" s="151"/>
      <c r="D312" s="151"/>
      <c r="E312" s="151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</row>
    <row r="313">
      <c r="A313" s="156"/>
      <c r="B313" s="151"/>
      <c r="C313" s="151"/>
      <c r="D313" s="151"/>
      <c r="E313" s="151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</row>
    <row r="314">
      <c r="A314" s="156"/>
      <c r="B314" s="151"/>
      <c r="C314" s="151"/>
      <c r="D314" s="151"/>
      <c r="E314" s="151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</row>
    <row r="315">
      <c r="A315" s="156"/>
      <c r="B315" s="151"/>
      <c r="C315" s="151"/>
      <c r="D315" s="151"/>
      <c r="E315" s="151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</row>
    <row r="316">
      <c r="A316" s="156"/>
      <c r="B316" s="151"/>
      <c r="C316" s="151"/>
      <c r="D316" s="151"/>
      <c r="E316" s="151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</row>
    <row r="317">
      <c r="A317" s="156"/>
      <c r="B317" s="151"/>
      <c r="C317" s="151"/>
      <c r="D317" s="151"/>
      <c r="E317" s="151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</row>
    <row r="318">
      <c r="A318" s="156"/>
      <c r="B318" s="151"/>
      <c r="C318" s="151"/>
      <c r="D318" s="151"/>
      <c r="E318" s="151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</row>
    <row r="319">
      <c r="A319" s="156"/>
      <c r="B319" s="151"/>
      <c r="C319" s="151"/>
      <c r="D319" s="151"/>
      <c r="E319" s="151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</row>
    <row r="320">
      <c r="A320" s="156"/>
      <c r="B320" s="151"/>
      <c r="C320" s="151"/>
      <c r="D320" s="151"/>
      <c r="E320" s="151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</row>
    <row r="321">
      <c r="A321" s="156"/>
      <c r="B321" s="151"/>
      <c r="C321" s="151"/>
      <c r="D321" s="151"/>
      <c r="E321" s="151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</row>
    <row r="322">
      <c r="A322" s="156"/>
      <c r="B322" s="151"/>
      <c r="C322" s="151"/>
      <c r="D322" s="151"/>
      <c r="E322" s="151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</row>
    <row r="323">
      <c r="A323" s="156"/>
      <c r="B323" s="151"/>
      <c r="C323" s="151"/>
      <c r="D323" s="151"/>
      <c r="E323" s="151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</row>
    <row r="324">
      <c r="A324" s="156"/>
      <c r="B324" s="151"/>
      <c r="C324" s="151"/>
      <c r="D324" s="151"/>
      <c r="E324" s="151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</row>
    <row r="325">
      <c r="A325" s="156"/>
      <c r="B325" s="151"/>
      <c r="C325" s="151"/>
      <c r="D325" s="151"/>
      <c r="E325" s="151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</row>
    <row r="326">
      <c r="A326" s="156"/>
      <c r="B326" s="151"/>
      <c r="C326" s="151"/>
      <c r="D326" s="151"/>
      <c r="E326" s="151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</row>
    <row r="327">
      <c r="A327" s="156"/>
      <c r="B327" s="151"/>
      <c r="C327" s="151"/>
      <c r="D327" s="151"/>
      <c r="E327" s="151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</row>
    <row r="328">
      <c r="A328" s="156"/>
      <c r="B328" s="151"/>
      <c r="C328" s="151"/>
      <c r="D328" s="151"/>
      <c r="E328" s="151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</row>
    <row r="329">
      <c r="A329" s="156"/>
      <c r="B329" s="151"/>
      <c r="C329" s="151"/>
      <c r="D329" s="151"/>
      <c r="E329" s="151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</row>
    <row r="330">
      <c r="A330" s="156"/>
      <c r="B330" s="151"/>
      <c r="C330" s="151"/>
      <c r="D330" s="151"/>
      <c r="E330" s="151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</row>
    <row r="331">
      <c r="A331" s="156"/>
      <c r="B331" s="151"/>
      <c r="C331" s="151"/>
      <c r="D331" s="151"/>
      <c r="E331" s="151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</row>
    <row r="332">
      <c r="A332" s="156"/>
      <c r="B332" s="151"/>
      <c r="C332" s="151"/>
      <c r="D332" s="151"/>
      <c r="E332" s="151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</row>
    <row r="333">
      <c r="A333" s="156"/>
      <c r="B333" s="151"/>
      <c r="C333" s="151"/>
      <c r="D333" s="151"/>
      <c r="E333" s="151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</row>
    <row r="334">
      <c r="A334" s="156"/>
      <c r="B334" s="151"/>
      <c r="C334" s="151"/>
      <c r="D334" s="151"/>
      <c r="E334" s="151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</row>
    <row r="335">
      <c r="A335" s="156"/>
      <c r="B335" s="151"/>
      <c r="C335" s="151"/>
      <c r="D335" s="151"/>
      <c r="E335" s="151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</row>
    <row r="336">
      <c r="A336" s="156"/>
      <c r="B336" s="151"/>
      <c r="C336" s="151"/>
      <c r="D336" s="151"/>
      <c r="E336" s="151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</row>
    <row r="337">
      <c r="A337" s="156"/>
      <c r="B337" s="151"/>
      <c r="C337" s="151"/>
      <c r="D337" s="151"/>
      <c r="E337" s="151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</row>
    <row r="338">
      <c r="A338" s="156"/>
      <c r="B338" s="151"/>
      <c r="C338" s="151"/>
      <c r="D338" s="151"/>
      <c r="E338" s="151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</row>
    <row r="339">
      <c r="A339" s="156"/>
      <c r="B339" s="151"/>
      <c r="C339" s="151"/>
      <c r="D339" s="151"/>
      <c r="E339" s="151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</row>
    <row r="340">
      <c r="A340" s="156"/>
      <c r="B340" s="151"/>
      <c r="C340" s="151"/>
      <c r="D340" s="151"/>
      <c r="E340" s="151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</row>
    <row r="341">
      <c r="A341" s="156"/>
      <c r="B341" s="151"/>
      <c r="C341" s="151"/>
      <c r="D341" s="151"/>
      <c r="E341" s="151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</row>
    <row r="342">
      <c r="A342" s="156"/>
      <c r="B342" s="151"/>
      <c r="C342" s="151"/>
      <c r="D342" s="151"/>
      <c r="E342" s="151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</row>
    <row r="343">
      <c r="A343" s="156"/>
      <c r="B343" s="151"/>
      <c r="C343" s="151"/>
      <c r="D343" s="151"/>
      <c r="E343" s="151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</row>
    <row r="344">
      <c r="A344" s="156"/>
      <c r="B344" s="151"/>
      <c r="C344" s="151"/>
      <c r="D344" s="151"/>
      <c r="E344" s="151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</row>
    <row r="345">
      <c r="A345" s="156"/>
      <c r="B345" s="151"/>
      <c r="C345" s="151"/>
      <c r="D345" s="151"/>
      <c r="E345" s="151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</row>
    <row r="346">
      <c r="A346" s="156"/>
      <c r="B346" s="151"/>
      <c r="C346" s="151"/>
      <c r="D346" s="151"/>
      <c r="E346" s="151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</row>
    <row r="347">
      <c r="A347" s="156"/>
      <c r="B347" s="151"/>
      <c r="C347" s="151"/>
      <c r="D347" s="151"/>
      <c r="E347" s="151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</row>
    <row r="348">
      <c r="A348" s="156"/>
      <c r="B348" s="151"/>
      <c r="C348" s="151"/>
      <c r="D348" s="151"/>
      <c r="E348" s="151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</row>
    <row r="349">
      <c r="A349" s="156"/>
      <c r="B349" s="151"/>
      <c r="C349" s="151"/>
      <c r="D349" s="151"/>
      <c r="E349" s="151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</row>
    <row r="350">
      <c r="A350" s="156"/>
      <c r="B350" s="151"/>
      <c r="C350" s="151"/>
      <c r="D350" s="151"/>
      <c r="E350" s="151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</row>
    <row r="351">
      <c r="A351" s="156"/>
      <c r="B351" s="151"/>
      <c r="C351" s="151"/>
      <c r="D351" s="151"/>
      <c r="E351" s="151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</row>
    <row r="352">
      <c r="A352" s="156"/>
      <c r="B352" s="151"/>
      <c r="C352" s="151"/>
      <c r="D352" s="151"/>
      <c r="E352" s="151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</row>
    <row r="353">
      <c r="A353" s="156"/>
      <c r="B353" s="151"/>
      <c r="C353" s="151"/>
      <c r="D353" s="151"/>
      <c r="E353" s="151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</row>
    <row r="354">
      <c r="A354" s="156"/>
      <c r="B354" s="151"/>
      <c r="C354" s="151"/>
      <c r="D354" s="151"/>
      <c r="E354" s="151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</row>
    <row r="355">
      <c r="A355" s="156"/>
      <c r="B355" s="151"/>
      <c r="C355" s="151"/>
      <c r="D355" s="151"/>
      <c r="E355" s="151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</row>
    <row r="356">
      <c r="A356" s="156"/>
      <c r="B356" s="151"/>
      <c r="C356" s="151"/>
      <c r="D356" s="151"/>
      <c r="E356" s="151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</row>
    <row r="357">
      <c r="A357" s="156"/>
      <c r="B357" s="151"/>
      <c r="C357" s="151"/>
      <c r="D357" s="151"/>
      <c r="E357" s="151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</row>
    <row r="358">
      <c r="A358" s="156"/>
      <c r="B358" s="151"/>
      <c r="C358" s="151"/>
      <c r="D358" s="151"/>
      <c r="E358" s="151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</row>
    <row r="359">
      <c r="A359" s="156"/>
      <c r="B359" s="151"/>
      <c r="C359" s="151"/>
      <c r="D359" s="151"/>
      <c r="E359" s="151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</row>
    <row r="360">
      <c r="A360" s="156"/>
      <c r="B360" s="151"/>
      <c r="C360" s="151"/>
      <c r="D360" s="151"/>
      <c r="E360" s="151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</row>
    <row r="361">
      <c r="A361" s="156"/>
      <c r="B361" s="151"/>
      <c r="C361" s="151"/>
      <c r="D361" s="151"/>
      <c r="E361" s="151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</row>
    <row r="362">
      <c r="A362" s="156"/>
      <c r="B362" s="151"/>
      <c r="C362" s="151"/>
      <c r="D362" s="151"/>
      <c r="E362" s="151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</row>
    <row r="363">
      <c r="A363" s="156"/>
      <c r="B363" s="151"/>
      <c r="C363" s="151"/>
      <c r="D363" s="151"/>
      <c r="E363" s="151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</row>
    <row r="364">
      <c r="A364" s="156"/>
      <c r="B364" s="151"/>
      <c r="C364" s="151"/>
      <c r="D364" s="151"/>
      <c r="E364" s="151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</row>
    <row r="365">
      <c r="A365" s="156"/>
      <c r="B365" s="151"/>
      <c r="C365" s="151"/>
      <c r="D365" s="151"/>
      <c r="E365" s="151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</row>
    <row r="366">
      <c r="A366" s="156"/>
      <c r="B366" s="151"/>
      <c r="C366" s="151"/>
      <c r="D366" s="151"/>
      <c r="E366" s="151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</row>
    <row r="367">
      <c r="A367" s="156"/>
      <c r="B367" s="151"/>
      <c r="C367" s="151"/>
      <c r="D367" s="151"/>
      <c r="E367" s="151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</row>
    <row r="368">
      <c r="A368" s="156"/>
      <c r="B368" s="151"/>
      <c r="C368" s="151"/>
      <c r="D368" s="151"/>
      <c r="E368" s="151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</row>
    <row r="369">
      <c r="A369" s="156"/>
      <c r="B369" s="151"/>
      <c r="C369" s="151"/>
      <c r="D369" s="151"/>
      <c r="E369" s="151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</row>
    <row r="370">
      <c r="A370" s="156"/>
      <c r="B370" s="151"/>
      <c r="C370" s="151"/>
      <c r="D370" s="151"/>
      <c r="E370" s="151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</row>
    <row r="371">
      <c r="A371" s="156"/>
      <c r="B371" s="151"/>
      <c r="C371" s="151"/>
      <c r="D371" s="151"/>
      <c r="E371" s="151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</row>
    <row r="372">
      <c r="A372" s="156"/>
      <c r="B372" s="151"/>
      <c r="C372" s="151"/>
      <c r="D372" s="151"/>
      <c r="E372" s="151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</row>
    <row r="373">
      <c r="A373" s="156"/>
      <c r="B373" s="151"/>
      <c r="C373" s="151"/>
      <c r="D373" s="151"/>
      <c r="E373" s="151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</row>
    <row r="374">
      <c r="A374" s="156"/>
      <c r="B374" s="151"/>
      <c r="C374" s="151"/>
      <c r="D374" s="151"/>
      <c r="E374" s="151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</row>
    <row r="375">
      <c r="A375" s="156"/>
      <c r="B375" s="151"/>
      <c r="C375" s="151"/>
      <c r="D375" s="151"/>
      <c r="E375" s="151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</row>
    <row r="376">
      <c r="A376" s="156"/>
      <c r="B376" s="151"/>
      <c r="C376" s="151"/>
      <c r="D376" s="151"/>
      <c r="E376" s="151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</row>
    <row r="377">
      <c r="A377" s="156"/>
      <c r="B377" s="151"/>
      <c r="C377" s="151"/>
      <c r="D377" s="151"/>
      <c r="E377" s="151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</row>
    <row r="378">
      <c r="A378" s="156"/>
      <c r="B378" s="151"/>
      <c r="C378" s="151"/>
      <c r="D378" s="151"/>
      <c r="E378" s="151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</row>
    <row r="379">
      <c r="A379" s="156"/>
      <c r="B379" s="151"/>
      <c r="C379" s="151"/>
      <c r="D379" s="151"/>
      <c r="E379" s="151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</row>
    <row r="380">
      <c r="A380" s="156"/>
      <c r="B380" s="151"/>
      <c r="C380" s="151"/>
      <c r="D380" s="151"/>
      <c r="E380" s="151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</row>
    <row r="381">
      <c r="A381" s="156"/>
      <c r="B381" s="151"/>
      <c r="C381" s="151"/>
      <c r="D381" s="151"/>
      <c r="E381" s="151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</row>
    <row r="382">
      <c r="A382" s="156"/>
      <c r="B382" s="151"/>
      <c r="C382" s="151"/>
      <c r="D382" s="151"/>
      <c r="E382" s="151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</row>
    <row r="383">
      <c r="A383" s="156"/>
      <c r="B383" s="151"/>
      <c r="C383" s="151"/>
      <c r="D383" s="151"/>
      <c r="E383" s="151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</row>
    <row r="384">
      <c r="A384" s="156"/>
      <c r="B384" s="151"/>
      <c r="C384" s="151"/>
      <c r="D384" s="151"/>
      <c r="E384" s="151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</row>
    <row r="385">
      <c r="A385" s="156"/>
      <c r="B385" s="151"/>
      <c r="C385" s="151"/>
      <c r="D385" s="151"/>
      <c r="E385" s="151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</row>
    <row r="386">
      <c r="A386" s="156"/>
      <c r="B386" s="151"/>
      <c r="C386" s="151"/>
      <c r="D386" s="151"/>
      <c r="E386" s="151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</row>
    <row r="387">
      <c r="A387" s="156"/>
      <c r="B387" s="151"/>
      <c r="C387" s="151"/>
      <c r="D387" s="151"/>
      <c r="E387" s="151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</row>
    <row r="388">
      <c r="A388" s="156"/>
      <c r="B388" s="151"/>
      <c r="C388" s="151"/>
      <c r="D388" s="151"/>
      <c r="E388" s="151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</row>
    <row r="389">
      <c r="A389" s="156"/>
      <c r="B389" s="151"/>
      <c r="C389" s="151"/>
      <c r="D389" s="151"/>
      <c r="E389" s="151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</row>
    <row r="390">
      <c r="A390" s="156"/>
      <c r="B390" s="151"/>
      <c r="C390" s="151"/>
      <c r="D390" s="151"/>
      <c r="E390" s="151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</row>
    <row r="391">
      <c r="A391" s="156"/>
      <c r="B391" s="151"/>
      <c r="C391" s="151"/>
      <c r="D391" s="151"/>
      <c r="E391" s="151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</row>
    <row r="392">
      <c r="A392" s="156"/>
      <c r="B392" s="151"/>
      <c r="C392" s="151"/>
      <c r="D392" s="151"/>
      <c r="E392" s="151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</row>
    <row r="393">
      <c r="A393" s="156"/>
      <c r="B393" s="151"/>
      <c r="C393" s="151"/>
      <c r="D393" s="151"/>
      <c r="E393" s="151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</row>
    <row r="394">
      <c r="A394" s="156"/>
      <c r="B394" s="151"/>
      <c r="C394" s="151"/>
      <c r="D394" s="151"/>
      <c r="E394" s="151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</row>
    <row r="395">
      <c r="A395" s="156"/>
      <c r="B395" s="151"/>
      <c r="C395" s="151"/>
      <c r="D395" s="151"/>
      <c r="E395" s="151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</row>
    <row r="396">
      <c r="A396" s="156"/>
      <c r="B396" s="151"/>
      <c r="C396" s="151"/>
      <c r="D396" s="151"/>
      <c r="E396" s="151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</row>
    <row r="397">
      <c r="A397" s="156"/>
      <c r="B397" s="151"/>
      <c r="C397" s="151"/>
      <c r="D397" s="151"/>
      <c r="E397" s="151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</row>
    <row r="398">
      <c r="A398" s="156"/>
      <c r="B398" s="151"/>
      <c r="C398" s="151"/>
      <c r="D398" s="151"/>
      <c r="E398" s="151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</row>
    <row r="399">
      <c r="A399" s="156"/>
      <c r="B399" s="151"/>
      <c r="C399" s="151"/>
      <c r="D399" s="151"/>
      <c r="E399" s="151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</row>
    <row r="400">
      <c r="A400" s="156"/>
      <c r="B400" s="151"/>
      <c r="C400" s="151"/>
      <c r="D400" s="151"/>
      <c r="E400" s="151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</row>
    <row r="401">
      <c r="A401" s="156"/>
      <c r="B401" s="151"/>
      <c r="C401" s="151"/>
      <c r="D401" s="151"/>
      <c r="E401" s="151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</row>
    <row r="402">
      <c r="A402" s="156"/>
      <c r="B402" s="151"/>
      <c r="C402" s="151"/>
      <c r="D402" s="151"/>
      <c r="E402" s="151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</row>
    <row r="403">
      <c r="A403" s="156"/>
      <c r="B403" s="151"/>
      <c r="C403" s="151"/>
      <c r="D403" s="151"/>
      <c r="E403" s="151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</row>
    <row r="404">
      <c r="A404" s="156"/>
      <c r="B404" s="151"/>
      <c r="C404" s="151"/>
      <c r="D404" s="151"/>
      <c r="E404" s="151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</row>
    <row r="405">
      <c r="A405" s="156"/>
      <c r="B405" s="151"/>
      <c r="C405" s="151"/>
      <c r="D405" s="151"/>
      <c r="E405" s="151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</row>
    <row r="406">
      <c r="A406" s="156"/>
      <c r="B406" s="151"/>
      <c r="C406" s="151"/>
      <c r="D406" s="151"/>
      <c r="E406" s="151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</row>
    <row r="407">
      <c r="A407" s="156"/>
      <c r="B407" s="151"/>
      <c r="C407" s="151"/>
      <c r="D407" s="151"/>
      <c r="E407" s="151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</row>
    <row r="408">
      <c r="A408" s="156"/>
      <c r="B408" s="151"/>
      <c r="C408" s="151"/>
      <c r="D408" s="151"/>
      <c r="E408" s="151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</row>
    <row r="409">
      <c r="A409" s="156"/>
      <c r="B409" s="151"/>
      <c r="C409" s="151"/>
      <c r="D409" s="151"/>
      <c r="E409" s="151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</row>
    <row r="410">
      <c r="A410" s="156"/>
      <c r="B410" s="151"/>
      <c r="C410" s="151"/>
      <c r="D410" s="151"/>
      <c r="E410" s="151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</row>
    <row r="411">
      <c r="A411" s="156"/>
      <c r="B411" s="151"/>
      <c r="C411" s="151"/>
      <c r="D411" s="151"/>
      <c r="E411" s="151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</row>
    <row r="412">
      <c r="A412" s="156"/>
      <c r="B412" s="151"/>
      <c r="C412" s="151"/>
      <c r="D412" s="151"/>
      <c r="E412" s="151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</row>
    <row r="413">
      <c r="A413" s="156"/>
      <c r="B413" s="151"/>
      <c r="C413" s="151"/>
      <c r="D413" s="151"/>
      <c r="E413" s="151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</row>
    <row r="414">
      <c r="A414" s="156"/>
      <c r="B414" s="151"/>
      <c r="C414" s="151"/>
      <c r="D414" s="151"/>
      <c r="E414" s="151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</row>
    <row r="415">
      <c r="A415" s="156"/>
      <c r="B415" s="151"/>
      <c r="C415" s="151"/>
      <c r="D415" s="151"/>
      <c r="E415" s="151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</row>
    <row r="416">
      <c r="A416" s="156"/>
      <c r="B416" s="151"/>
      <c r="C416" s="151"/>
      <c r="D416" s="151"/>
      <c r="E416" s="151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</row>
    <row r="417">
      <c r="A417" s="156"/>
      <c r="B417" s="151"/>
      <c r="C417" s="151"/>
      <c r="D417" s="151"/>
      <c r="E417" s="151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</row>
    <row r="418">
      <c r="A418" s="156"/>
      <c r="B418" s="151"/>
      <c r="C418" s="151"/>
      <c r="D418" s="151"/>
      <c r="E418" s="151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</row>
    <row r="419">
      <c r="A419" s="156"/>
      <c r="B419" s="151"/>
      <c r="C419" s="151"/>
      <c r="D419" s="151"/>
      <c r="E419" s="151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</row>
    <row r="420">
      <c r="A420" s="156"/>
      <c r="B420" s="151"/>
      <c r="C420" s="151"/>
      <c r="D420" s="151"/>
      <c r="E420" s="151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</row>
    <row r="421">
      <c r="A421" s="156"/>
      <c r="B421" s="151"/>
      <c r="C421" s="151"/>
      <c r="D421" s="151"/>
      <c r="E421" s="151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</row>
    <row r="422">
      <c r="A422" s="156"/>
      <c r="B422" s="151"/>
      <c r="C422" s="151"/>
      <c r="D422" s="151"/>
      <c r="E422" s="151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</row>
    <row r="423">
      <c r="A423" s="156"/>
      <c r="B423" s="151"/>
      <c r="C423" s="151"/>
      <c r="D423" s="151"/>
      <c r="E423" s="151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</row>
    <row r="424">
      <c r="A424" s="156"/>
      <c r="B424" s="151"/>
      <c r="C424" s="151"/>
      <c r="D424" s="151"/>
      <c r="E424" s="151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</row>
    <row r="425">
      <c r="A425" s="156"/>
      <c r="B425" s="151"/>
      <c r="C425" s="151"/>
      <c r="D425" s="151"/>
      <c r="E425" s="151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</row>
    <row r="426">
      <c r="A426" s="156"/>
      <c r="B426" s="151"/>
      <c r="C426" s="151"/>
      <c r="D426" s="151"/>
      <c r="E426" s="151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</row>
    <row r="427">
      <c r="A427" s="156"/>
      <c r="B427" s="151"/>
      <c r="C427" s="151"/>
      <c r="D427" s="151"/>
      <c r="E427" s="151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</row>
    <row r="428">
      <c r="A428" s="156"/>
      <c r="B428" s="151"/>
      <c r="C428" s="151"/>
      <c r="D428" s="151"/>
      <c r="E428" s="151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</row>
    <row r="429">
      <c r="A429" s="156"/>
      <c r="B429" s="151"/>
      <c r="C429" s="151"/>
      <c r="D429" s="151"/>
      <c r="E429" s="151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</row>
    <row r="430">
      <c r="A430" s="156"/>
      <c r="B430" s="151"/>
      <c r="C430" s="151"/>
      <c r="D430" s="151"/>
      <c r="E430" s="151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</row>
    <row r="431">
      <c r="A431" s="156"/>
      <c r="B431" s="151"/>
      <c r="C431" s="151"/>
      <c r="D431" s="151"/>
      <c r="E431" s="151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</row>
    <row r="432">
      <c r="A432" s="156"/>
      <c r="B432" s="151"/>
      <c r="C432" s="151"/>
      <c r="D432" s="151"/>
      <c r="E432" s="151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</row>
    <row r="433">
      <c r="A433" s="156"/>
      <c r="B433" s="151"/>
      <c r="C433" s="151"/>
      <c r="D433" s="151"/>
      <c r="E433" s="151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</row>
    <row r="434">
      <c r="A434" s="156"/>
      <c r="B434" s="151"/>
      <c r="C434" s="151"/>
      <c r="D434" s="151"/>
      <c r="E434" s="151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</row>
    <row r="435">
      <c r="A435" s="156"/>
      <c r="B435" s="151"/>
      <c r="C435" s="151"/>
      <c r="D435" s="151"/>
      <c r="E435" s="151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</row>
    <row r="436">
      <c r="A436" s="156"/>
      <c r="B436" s="151"/>
      <c r="C436" s="151"/>
      <c r="D436" s="151"/>
      <c r="E436" s="151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</row>
    <row r="437">
      <c r="A437" s="156"/>
      <c r="B437" s="151"/>
      <c r="C437" s="151"/>
      <c r="D437" s="151"/>
      <c r="E437" s="151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</row>
    <row r="438">
      <c r="A438" s="156"/>
      <c r="B438" s="151"/>
      <c r="C438" s="151"/>
      <c r="D438" s="151"/>
      <c r="E438" s="151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</row>
    <row r="439">
      <c r="A439" s="156"/>
      <c r="B439" s="151"/>
      <c r="C439" s="151"/>
      <c r="D439" s="151"/>
      <c r="E439" s="151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</row>
    <row r="440">
      <c r="A440" s="156"/>
      <c r="B440" s="151"/>
      <c r="C440" s="151"/>
      <c r="D440" s="151"/>
      <c r="E440" s="151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</row>
    <row r="441">
      <c r="A441" s="156"/>
      <c r="B441" s="151"/>
      <c r="C441" s="151"/>
      <c r="D441" s="151"/>
      <c r="E441" s="151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</row>
    <row r="442">
      <c r="A442" s="156"/>
      <c r="B442" s="151"/>
      <c r="C442" s="151"/>
      <c r="D442" s="151"/>
      <c r="E442" s="151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</row>
    <row r="443">
      <c r="A443" s="156"/>
      <c r="B443" s="151"/>
      <c r="C443" s="151"/>
      <c r="D443" s="151"/>
      <c r="E443" s="151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</row>
    <row r="444">
      <c r="A444" s="156"/>
      <c r="B444" s="151"/>
      <c r="C444" s="151"/>
      <c r="D444" s="151"/>
      <c r="E444" s="151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</row>
    <row r="445">
      <c r="A445" s="156"/>
      <c r="B445" s="151"/>
      <c r="C445" s="151"/>
      <c r="D445" s="151"/>
      <c r="E445" s="151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</row>
    <row r="446">
      <c r="A446" s="156"/>
      <c r="B446" s="151"/>
      <c r="C446" s="151"/>
      <c r="D446" s="151"/>
      <c r="E446" s="151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</row>
    <row r="447">
      <c r="A447" s="156"/>
      <c r="B447" s="151"/>
      <c r="C447" s="151"/>
      <c r="D447" s="151"/>
      <c r="E447" s="151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</row>
    <row r="448">
      <c r="A448" s="156"/>
      <c r="B448" s="151"/>
      <c r="C448" s="151"/>
      <c r="D448" s="151"/>
      <c r="E448" s="151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</row>
    <row r="449">
      <c r="A449" s="156"/>
      <c r="B449" s="151"/>
      <c r="C449" s="151"/>
      <c r="D449" s="151"/>
      <c r="E449" s="151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</row>
    <row r="450">
      <c r="A450" s="156"/>
      <c r="B450" s="151"/>
      <c r="C450" s="151"/>
      <c r="D450" s="151"/>
      <c r="E450" s="151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</row>
    <row r="451">
      <c r="A451" s="156"/>
      <c r="B451" s="151"/>
      <c r="C451" s="151"/>
      <c r="D451" s="151"/>
      <c r="E451" s="151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</row>
    <row r="452">
      <c r="A452" s="156"/>
      <c r="B452" s="151"/>
      <c r="C452" s="151"/>
      <c r="D452" s="151"/>
      <c r="E452" s="151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</row>
    <row r="453">
      <c r="A453" s="156"/>
      <c r="B453" s="151"/>
      <c r="C453" s="151"/>
      <c r="D453" s="151"/>
      <c r="E453" s="151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</row>
    <row r="454">
      <c r="A454" s="156"/>
      <c r="B454" s="151"/>
      <c r="C454" s="151"/>
      <c r="D454" s="151"/>
      <c r="E454" s="151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</row>
    <row r="455">
      <c r="A455" s="156"/>
      <c r="B455" s="151"/>
      <c r="C455" s="151"/>
      <c r="D455" s="151"/>
      <c r="E455" s="151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</row>
    <row r="456">
      <c r="A456" s="156"/>
      <c r="B456" s="151"/>
      <c r="C456" s="151"/>
      <c r="D456" s="151"/>
      <c r="E456" s="151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</row>
    <row r="457">
      <c r="A457" s="156"/>
      <c r="B457" s="151"/>
      <c r="C457" s="151"/>
      <c r="D457" s="151"/>
      <c r="E457" s="151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</row>
    <row r="458">
      <c r="A458" s="156"/>
      <c r="B458" s="151"/>
      <c r="C458" s="151"/>
      <c r="D458" s="151"/>
      <c r="E458" s="151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</row>
    <row r="459">
      <c r="A459" s="156"/>
      <c r="B459" s="151"/>
      <c r="C459" s="151"/>
      <c r="D459" s="151"/>
      <c r="E459" s="151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</row>
    <row r="460">
      <c r="A460" s="156"/>
      <c r="B460" s="151"/>
      <c r="C460" s="151"/>
      <c r="D460" s="151"/>
      <c r="E460" s="151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</row>
    <row r="461">
      <c r="A461" s="156"/>
      <c r="B461" s="151"/>
      <c r="C461" s="151"/>
      <c r="D461" s="151"/>
      <c r="E461" s="151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</row>
    <row r="462">
      <c r="A462" s="156"/>
      <c r="B462" s="151"/>
      <c r="C462" s="151"/>
      <c r="D462" s="151"/>
      <c r="E462" s="151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</row>
    <row r="463">
      <c r="A463" s="156"/>
      <c r="B463" s="151"/>
      <c r="C463" s="151"/>
      <c r="D463" s="151"/>
      <c r="E463" s="151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</row>
    <row r="464">
      <c r="A464" s="156"/>
      <c r="B464" s="151"/>
      <c r="C464" s="151"/>
      <c r="D464" s="151"/>
      <c r="E464" s="151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</row>
    <row r="465">
      <c r="A465" s="156"/>
      <c r="B465" s="151"/>
      <c r="C465" s="151"/>
      <c r="D465" s="151"/>
      <c r="E465" s="151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</row>
    <row r="466">
      <c r="A466" s="156"/>
      <c r="B466" s="151"/>
      <c r="C466" s="151"/>
      <c r="D466" s="151"/>
      <c r="E466" s="151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</row>
    <row r="467">
      <c r="A467" s="156"/>
      <c r="B467" s="151"/>
      <c r="C467" s="151"/>
      <c r="D467" s="151"/>
      <c r="E467" s="151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</row>
    <row r="468">
      <c r="A468" s="156"/>
      <c r="B468" s="151"/>
      <c r="C468" s="151"/>
      <c r="D468" s="151"/>
      <c r="E468" s="151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</row>
    <row r="469">
      <c r="A469" s="156"/>
      <c r="B469" s="151"/>
      <c r="C469" s="151"/>
      <c r="D469" s="151"/>
      <c r="E469" s="151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</row>
    <row r="470">
      <c r="A470" s="156"/>
      <c r="B470" s="151"/>
      <c r="C470" s="151"/>
      <c r="D470" s="151"/>
      <c r="E470" s="151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</row>
    <row r="471">
      <c r="A471" s="156"/>
      <c r="B471" s="151"/>
      <c r="C471" s="151"/>
      <c r="D471" s="151"/>
      <c r="E471" s="151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</row>
    <row r="472">
      <c r="A472" s="156"/>
      <c r="B472" s="151"/>
      <c r="C472" s="151"/>
      <c r="D472" s="151"/>
      <c r="E472" s="151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</row>
    <row r="473">
      <c r="A473" s="156"/>
      <c r="B473" s="151"/>
      <c r="C473" s="151"/>
      <c r="D473" s="151"/>
      <c r="E473" s="151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</row>
    <row r="474">
      <c r="A474" s="156"/>
      <c r="B474" s="151"/>
      <c r="C474" s="151"/>
      <c r="D474" s="151"/>
      <c r="E474" s="151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</row>
    <row r="475">
      <c r="A475" s="156"/>
      <c r="B475" s="151"/>
      <c r="C475" s="151"/>
      <c r="D475" s="151"/>
      <c r="E475" s="151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</row>
    <row r="476">
      <c r="A476" s="156"/>
      <c r="B476" s="151"/>
      <c r="C476" s="151"/>
      <c r="D476" s="151"/>
      <c r="E476" s="151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</row>
    <row r="477">
      <c r="A477" s="156"/>
      <c r="B477" s="151"/>
      <c r="C477" s="151"/>
      <c r="D477" s="151"/>
      <c r="E477" s="151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</row>
    <row r="478">
      <c r="A478" s="156"/>
      <c r="B478" s="151"/>
      <c r="C478" s="151"/>
      <c r="D478" s="151"/>
      <c r="E478" s="151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</row>
    <row r="479">
      <c r="A479" s="156"/>
      <c r="B479" s="151"/>
      <c r="C479" s="151"/>
      <c r="D479" s="151"/>
      <c r="E479" s="151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</row>
    <row r="480">
      <c r="A480" s="156"/>
      <c r="B480" s="151"/>
      <c r="C480" s="151"/>
      <c r="D480" s="151"/>
      <c r="E480" s="151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</row>
    <row r="481">
      <c r="A481" s="156"/>
      <c r="B481" s="151"/>
      <c r="C481" s="151"/>
      <c r="D481" s="151"/>
      <c r="E481" s="151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</row>
    <row r="482">
      <c r="A482" s="156"/>
      <c r="B482" s="151"/>
      <c r="C482" s="151"/>
      <c r="D482" s="151"/>
      <c r="E482" s="151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</row>
    <row r="483">
      <c r="A483" s="156"/>
      <c r="B483" s="151"/>
      <c r="C483" s="151"/>
      <c r="D483" s="151"/>
      <c r="E483" s="151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</row>
    <row r="484">
      <c r="A484" s="156"/>
      <c r="B484" s="151"/>
      <c r="C484" s="151"/>
      <c r="D484" s="151"/>
      <c r="E484" s="151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</row>
    <row r="485">
      <c r="A485" s="156"/>
      <c r="B485" s="151"/>
      <c r="C485" s="151"/>
      <c r="D485" s="151"/>
      <c r="E485" s="151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</row>
    <row r="486">
      <c r="A486" s="156"/>
      <c r="B486" s="151"/>
      <c r="C486" s="151"/>
      <c r="D486" s="151"/>
      <c r="E486" s="151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</row>
    <row r="487">
      <c r="A487" s="156"/>
      <c r="B487" s="151"/>
      <c r="C487" s="151"/>
      <c r="D487" s="151"/>
      <c r="E487" s="151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</row>
    <row r="488">
      <c r="A488" s="156"/>
      <c r="B488" s="151"/>
      <c r="C488" s="151"/>
      <c r="D488" s="151"/>
      <c r="E488" s="151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</row>
    <row r="489">
      <c r="A489" s="156"/>
      <c r="B489" s="151"/>
      <c r="C489" s="151"/>
      <c r="D489" s="151"/>
      <c r="E489" s="151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</row>
    <row r="490">
      <c r="A490" s="156"/>
      <c r="B490" s="151"/>
      <c r="C490" s="151"/>
      <c r="D490" s="151"/>
      <c r="E490" s="151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</row>
    <row r="491">
      <c r="A491" s="156"/>
      <c r="B491" s="151"/>
      <c r="C491" s="151"/>
      <c r="D491" s="151"/>
      <c r="E491" s="151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</row>
    <row r="492">
      <c r="A492" s="156"/>
      <c r="B492" s="151"/>
      <c r="C492" s="151"/>
      <c r="D492" s="151"/>
      <c r="E492" s="151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</row>
    <row r="493">
      <c r="A493" s="156"/>
      <c r="B493" s="151"/>
      <c r="C493" s="151"/>
      <c r="D493" s="151"/>
      <c r="E493" s="151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</row>
    <row r="494">
      <c r="A494" s="156"/>
      <c r="B494" s="151"/>
      <c r="C494" s="151"/>
      <c r="D494" s="151"/>
      <c r="E494" s="151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</row>
    <row r="495">
      <c r="A495" s="156"/>
      <c r="B495" s="151"/>
      <c r="C495" s="151"/>
      <c r="D495" s="151"/>
      <c r="E495" s="151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</row>
    <row r="496">
      <c r="A496" s="156"/>
      <c r="B496" s="151"/>
      <c r="C496" s="151"/>
      <c r="D496" s="151"/>
      <c r="E496" s="151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</row>
    <row r="497">
      <c r="A497" s="156"/>
      <c r="B497" s="151"/>
      <c r="C497" s="151"/>
      <c r="D497" s="151"/>
      <c r="E497" s="151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</row>
    <row r="498">
      <c r="A498" s="156"/>
      <c r="B498" s="151"/>
      <c r="C498" s="151"/>
      <c r="D498" s="151"/>
      <c r="E498" s="151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</row>
    <row r="499">
      <c r="A499" s="156"/>
      <c r="B499" s="151"/>
      <c r="C499" s="151"/>
      <c r="D499" s="151"/>
      <c r="E499" s="151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</row>
    <row r="500">
      <c r="A500" s="156"/>
      <c r="B500" s="151"/>
      <c r="C500" s="151"/>
      <c r="D500" s="151"/>
      <c r="E500" s="151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</row>
    <row r="501">
      <c r="A501" s="156"/>
      <c r="B501" s="151"/>
      <c r="C501" s="151"/>
      <c r="D501" s="151"/>
      <c r="E501" s="151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</row>
    <row r="502">
      <c r="A502" s="156"/>
      <c r="B502" s="151"/>
      <c r="C502" s="151"/>
      <c r="D502" s="151"/>
      <c r="E502" s="151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</row>
    <row r="503">
      <c r="A503" s="156"/>
      <c r="B503" s="151"/>
      <c r="C503" s="151"/>
      <c r="D503" s="151"/>
      <c r="E503" s="151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</row>
    <row r="504">
      <c r="A504" s="156"/>
      <c r="B504" s="151"/>
      <c r="C504" s="151"/>
      <c r="D504" s="151"/>
      <c r="E504" s="151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</row>
    <row r="505">
      <c r="A505" s="156"/>
      <c r="B505" s="151"/>
      <c r="C505" s="151"/>
      <c r="D505" s="151"/>
      <c r="E505" s="151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</row>
    <row r="506">
      <c r="A506" s="156"/>
      <c r="B506" s="151"/>
      <c r="C506" s="151"/>
      <c r="D506" s="151"/>
      <c r="E506" s="151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</row>
    <row r="507">
      <c r="A507" s="156"/>
      <c r="B507" s="151"/>
      <c r="C507" s="151"/>
      <c r="D507" s="151"/>
      <c r="E507" s="151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</row>
    <row r="508">
      <c r="A508" s="156"/>
      <c r="B508" s="151"/>
      <c r="C508" s="151"/>
      <c r="D508" s="151"/>
      <c r="E508" s="151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</row>
    <row r="509">
      <c r="A509" s="156"/>
      <c r="B509" s="151"/>
      <c r="C509" s="151"/>
      <c r="D509" s="151"/>
      <c r="E509" s="151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</row>
    <row r="510">
      <c r="A510" s="156"/>
      <c r="B510" s="151"/>
      <c r="C510" s="151"/>
      <c r="D510" s="151"/>
      <c r="E510" s="151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</row>
    <row r="511">
      <c r="A511" s="156"/>
      <c r="B511" s="151"/>
      <c r="C511" s="151"/>
      <c r="D511" s="151"/>
      <c r="E511" s="151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</row>
    <row r="512">
      <c r="A512" s="156"/>
      <c r="B512" s="151"/>
      <c r="C512" s="151"/>
      <c r="D512" s="151"/>
      <c r="E512" s="151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</row>
    <row r="513">
      <c r="A513" s="156"/>
      <c r="B513" s="151"/>
      <c r="C513" s="151"/>
      <c r="D513" s="151"/>
      <c r="E513" s="151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</row>
    <row r="514">
      <c r="A514" s="156"/>
      <c r="B514" s="151"/>
      <c r="C514" s="151"/>
      <c r="D514" s="151"/>
      <c r="E514" s="151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</row>
    <row r="515">
      <c r="A515" s="156"/>
      <c r="B515" s="151"/>
      <c r="C515" s="151"/>
      <c r="D515" s="151"/>
      <c r="E515" s="151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</row>
    <row r="516">
      <c r="A516" s="156"/>
      <c r="B516" s="151"/>
      <c r="C516" s="151"/>
      <c r="D516" s="151"/>
      <c r="E516" s="151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</row>
    <row r="517">
      <c r="A517" s="156"/>
      <c r="B517" s="151"/>
      <c r="C517" s="151"/>
      <c r="D517" s="151"/>
      <c r="E517" s="151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</row>
    <row r="518">
      <c r="A518" s="156"/>
      <c r="B518" s="151"/>
      <c r="C518" s="151"/>
      <c r="D518" s="151"/>
      <c r="E518" s="151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</row>
    <row r="519">
      <c r="A519" s="156"/>
      <c r="B519" s="151"/>
      <c r="C519" s="151"/>
      <c r="D519" s="151"/>
      <c r="E519" s="151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</row>
    <row r="520">
      <c r="A520" s="156"/>
      <c r="B520" s="151"/>
      <c r="C520" s="151"/>
      <c r="D520" s="151"/>
      <c r="E520" s="151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</row>
    <row r="521">
      <c r="A521" s="156"/>
      <c r="B521" s="151"/>
      <c r="C521" s="151"/>
      <c r="D521" s="151"/>
      <c r="E521" s="151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</row>
    <row r="522">
      <c r="A522" s="156"/>
      <c r="B522" s="151"/>
      <c r="C522" s="151"/>
      <c r="D522" s="151"/>
      <c r="E522" s="151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</row>
    <row r="523">
      <c r="A523" s="156"/>
      <c r="B523" s="151"/>
      <c r="C523" s="151"/>
      <c r="D523" s="151"/>
      <c r="E523" s="151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</row>
    <row r="524">
      <c r="A524" s="156"/>
      <c r="B524" s="151"/>
      <c r="C524" s="151"/>
      <c r="D524" s="151"/>
      <c r="E524" s="151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</row>
    <row r="525">
      <c r="A525" s="156"/>
      <c r="B525" s="151"/>
      <c r="C525" s="151"/>
      <c r="D525" s="151"/>
      <c r="E525" s="151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</row>
    <row r="526">
      <c r="A526" s="156"/>
      <c r="B526" s="151"/>
      <c r="C526" s="151"/>
      <c r="D526" s="151"/>
      <c r="E526" s="151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</row>
    <row r="527">
      <c r="A527" s="156"/>
      <c r="B527" s="151"/>
      <c r="C527" s="151"/>
      <c r="D527" s="151"/>
      <c r="E527" s="151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</row>
    <row r="528">
      <c r="A528" s="156"/>
      <c r="B528" s="151"/>
      <c r="C528" s="151"/>
      <c r="D528" s="151"/>
      <c r="E528" s="151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</row>
    <row r="529">
      <c r="A529" s="156"/>
      <c r="B529" s="151"/>
      <c r="C529" s="151"/>
      <c r="D529" s="151"/>
      <c r="E529" s="151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</row>
    <row r="530">
      <c r="A530" s="156"/>
      <c r="B530" s="151"/>
      <c r="C530" s="151"/>
      <c r="D530" s="151"/>
      <c r="E530" s="151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</row>
    <row r="531">
      <c r="A531" s="156"/>
      <c r="B531" s="151"/>
      <c r="C531" s="151"/>
      <c r="D531" s="151"/>
      <c r="E531" s="151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</row>
    <row r="532">
      <c r="A532" s="156"/>
      <c r="B532" s="151"/>
      <c r="C532" s="151"/>
      <c r="D532" s="151"/>
      <c r="E532" s="151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</row>
    <row r="533">
      <c r="A533" s="156"/>
      <c r="B533" s="151"/>
      <c r="C533" s="151"/>
      <c r="D533" s="151"/>
      <c r="E533" s="151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</row>
    <row r="534">
      <c r="A534" s="156"/>
      <c r="B534" s="151"/>
      <c r="C534" s="151"/>
      <c r="D534" s="151"/>
      <c r="E534" s="151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</row>
    <row r="535">
      <c r="A535" s="156"/>
      <c r="B535" s="151"/>
      <c r="C535" s="151"/>
      <c r="D535" s="151"/>
      <c r="E535" s="151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</row>
    <row r="536">
      <c r="A536" s="156"/>
      <c r="B536" s="151"/>
      <c r="C536" s="151"/>
      <c r="D536" s="151"/>
      <c r="E536" s="151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</row>
    <row r="537">
      <c r="A537" s="156"/>
      <c r="B537" s="151"/>
      <c r="C537" s="151"/>
      <c r="D537" s="151"/>
      <c r="E537" s="151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</row>
    <row r="538">
      <c r="A538" s="156"/>
      <c r="B538" s="151"/>
      <c r="C538" s="151"/>
      <c r="D538" s="151"/>
      <c r="E538" s="151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</row>
    <row r="539">
      <c r="A539" s="156"/>
      <c r="B539" s="151"/>
      <c r="C539" s="151"/>
      <c r="D539" s="151"/>
      <c r="E539" s="151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</row>
    <row r="540">
      <c r="A540" s="156"/>
      <c r="B540" s="151"/>
      <c r="C540" s="151"/>
      <c r="D540" s="151"/>
      <c r="E540" s="151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</row>
    <row r="541">
      <c r="A541" s="156"/>
      <c r="B541" s="151"/>
      <c r="C541" s="151"/>
      <c r="D541" s="151"/>
      <c r="E541" s="151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</row>
    <row r="542">
      <c r="A542" s="156"/>
      <c r="B542" s="151"/>
      <c r="C542" s="151"/>
      <c r="D542" s="151"/>
      <c r="E542" s="151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</row>
    <row r="543">
      <c r="A543" s="156"/>
      <c r="B543" s="151"/>
      <c r="C543" s="151"/>
      <c r="D543" s="151"/>
      <c r="E543" s="151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</row>
    <row r="544">
      <c r="A544" s="156"/>
      <c r="B544" s="151"/>
      <c r="C544" s="151"/>
      <c r="D544" s="151"/>
      <c r="E544" s="151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</row>
    <row r="545">
      <c r="A545" s="156"/>
      <c r="B545" s="151"/>
      <c r="C545" s="151"/>
      <c r="D545" s="151"/>
      <c r="E545" s="151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</row>
    <row r="546">
      <c r="A546" s="156"/>
      <c r="B546" s="151"/>
      <c r="C546" s="151"/>
      <c r="D546" s="151"/>
      <c r="E546" s="151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</row>
    <row r="547">
      <c r="A547" s="156"/>
      <c r="B547" s="151"/>
      <c r="C547" s="151"/>
      <c r="D547" s="151"/>
      <c r="E547" s="151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</row>
    <row r="548">
      <c r="A548" s="156"/>
      <c r="B548" s="151"/>
      <c r="C548" s="151"/>
      <c r="D548" s="151"/>
      <c r="E548" s="151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</row>
    <row r="549">
      <c r="A549" s="156"/>
      <c r="B549" s="151"/>
      <c r="C549" s="151"/>
      <c r="D549" s="151"/>
      <c r="E549" s="151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</row>
    <row r="550">
      <c r="A550" s="156"/>
      <c r="B550" s="151"/>
      <c r="C550" s="151"/>
      <c r="D550" s="151"/>
      <c r="E550" s="151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</row>
    <row r="551">
      <c r="A551" s="156"/>
      <c r="B551" s="151"/>
      <c r="C551" s="151"/>
      <c r="D551" s="151"/>
      <c r="E551" s="151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</row>
    <row r="552">
      <c r="A552" s="156"/>
      <c r="B552" s="151"/>
      <c r="C552" s="151"/>
      <c r="D552" s="151"/>
      <c r="E552" s="151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</row>
    <row r="553">
      <c r="A553" s="156"/>
      <c r="B553" s="151"/>
      <c r="C553" s="151"/>
      <c r="D553" s="151"/>
      <c r="E553" s="151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</row>
    <row r="554">
      <c r="A554" s="156"/>
      <c r="B554" s="151"/>
      <c r="C554" s="151"/>
      <c r="D554" s="151"/>
      <c r="E554" s="151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</row>
    <row r="555">
      <c r="A555" s="156"/>
      <c r="B555" s="151"/>
      <c r="C555" s="151"/>
      <c r="D555" s="151"/>
      <c r="E555" s="151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</row>
    <row r="556">
      <c r="A556" s="156"/>
      <c r="B556" s="151"/>
      <c r="C556" s="151"/>
      <c r="D556" s="151"/>
      <c r="E556" s="151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</row>
    <row r="557">
      <c r="A557" s="156"/>
      <c r="B557" s="151"/>
      <c r="C557" s="151"/>
      <c r="D557" s="151"/>
      <c r="E557" s="151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</row>
    <row r="558">
      <c r="A558" s="156"/>
      <c r="B558" s="151"/>
      <c r="C558" s="151"/>
      <c r="D558" s="151"/>
      <c r="E558" s="151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</row>
    <row r="559">
      <c r="A559" s="156"/>
      <c r="B559" s="151"/>
      <c r="C559" s="151"/>
      <c r="D559" s="151"/>
      <c r="E559" s="151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</row>
    <row r="560">
      <c r="A560" s="156"/>
      <c r="B560" s="151"/>
      <c r="C560" s="151"/>
      <c r="D560" s="151"/>
      <c r="E560" s="151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</row>
    <row r="561">
      <c r="A561" s="156"/>
      <c r="B561" s="151"/>
      <c r="C561" s="151"/>
      <c r="D561" s="151"/>
      <c r="E561" s="151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</row>
    <row r="562">
      <c r="A562" s="156"/>
      <c r="B562" s="151"/>
      <c r="C562" s="151"/>
      <c r="D562" s="151"/>
      <c r="E562" s="151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</row>
    <row r="563">
      <c r="A563" s="156"/>
      <c r="B563" s="151"/>
      <c r="C563" s="151"/>
      <c r="D563" s="151"/>
      <c r="E563" s="151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</row>
    <row r="564">
      <c r="A564" s="156"/>
      <c r="B564" s="151"/>
      <c r="C564" s="151"/>
      <c r="D564" s="151"/>
      <c r="E564" s="151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</row>
    <row r="565">
      <c r="A565" s="156"/>
      <c r="B565" s="151"/>
      <c r="C565" s="151"/>
      <c r="D565" s="151"/>
      <c r="E565" s="151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</row>
    <row r="566">
      <c r="A566" s="156"/>
      <c r="B566" s="151"/>
      <c r="C566" s="151"/>
      <c r="D566" s="151"/>
      <c r="E566" s="151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</row>
    <row r="567">
      <c r="A567" s="156"/>
      <c r="B567" s="151"/>
      <c r="C567" s="151"/>
      <c r="D567" s="151"/>
      <c r="E567" s="151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</row>
    <row r="568">
      <c r="A568" s="156"/>
      <c r="B568" s="151"/>
      <c r="C568" s="151"/>
      <c r="D568" s="151"/>
      <c r="E568" s="151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</row>
    <row r="569">
      <c r="A569" s="156"/>
      <c r="B569" s="151"/>
      <c r="C569" s="151"/>
      <c r="D569" s="151"/>
      <c r="E569" s="151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</row>
    <row r="570">
      <c r="A570" s="156"/>
      <c r="B570" s="151"/>
      <c r="C570" s="151"/>
      <c r="D570" s="151"/>
      <c r="E570" s="151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</row>
    <row r="571">
      <c r="A571" s="156"/>
      <c r="B571" s="151"/>
      <c r="C571" s="151"/>
      <c r="D571" s="151"/>
      <c r="E571" s="151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</row>
    <row r="572">
      <c r="A572" s="156"/>
      <c r="B572" s="151"/>
      <c r="C572" s="151"/>
      <c r="D572" s="151"/>
      <c r="E572" s="151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</row>
    <row r="573">
      <c r="A573" s="156"/>
      <c r="B573" s="151"/>
      <c r="C573" s="151"/>
      <c r="D573" s="151"/>
      <c r="E573" s="151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</row>
    <row r="574">
      <c r="A574" s="156"/>
      <c r="B574" s="151"/>
      <c r="C574" s="151"/>
      <c r="D574" s="151"/>
      <c r="E574" s="151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</row>
    <row r="575">
      <c r="A575" s="156"/>
      <c r="B575" s="151"/>
      <c r="C575" s="151"/>
      <c r="D575" s="151"/>
      <c r="E575" s="151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</row>
    <row r="576">
      <c r="A576" s="156"/>
      <c r="B576" s="151"/>
      <c r="C576" s="151"/>
      <c r="D576" s="151"/>
      <c r="E576" s="151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</row>
    <row r="577">
      <c r="A577" s="156"/>
      <c r="B577" s="151"/>
      <c r="C577" s="151"/>
      <c r="D577" s="151"/>
      <c r="E577" s="151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</row>
    <row r="578">
      <c r="A578" s="156"/>
      <c r="B578" s="151"/>
      <c r="C578" s="151"/>
      <c r="D578" s="151"/>
      <c r="E578" s="151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</row>
    <row r="579">
      <c r="A579" s="156"/>
      <c r="B579" s="151"/>
      <c r="C579" s="151"/>
      <c r="D579" s="151"/>
      <c r="E579" s="151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</row>
    <row r="580">
      <c r="A580" s="156"/>
      <c r="B580" s="151"/>
      <c r="C580" s="151"/>
      <c r="D580" s="151"/>
      <c r="E580" s="151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</row>
    <row r="581">
      <c r="A581" s="156"/>
      <c r="B581" s="151"/>
      <c r="C581" s="151"/>
      <c r="D581" s="151"/>
      <c r="E581" s="151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</row>
    <row r="582">
      <c r="A582" s="156"/>
      <c r="B582" s="151"/>
      <c r="C582" s="151"/>
      <c r="D582" s="151"/>
      <c r="E582" s="151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</row>
    <row r="583">
      <c r="A583" s="156"/>
      <c r="B583" s="151"/>
      <c r="C583" s="151"/>
      <c r="D583" s="151"/>
      <c r="E583" s="151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</row>
    <row r="584">
      <c r="A584" s="156"/>
      <c r="B584" s="151"/>
      <c r="C584" s="151"/>
      <c r="D584" s="151"/>
      <c r="E584" s="151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</row>
    <row r="585">
      <c r="A585" s="156"/>
      <c r="B585" s="151"/>
      <c r="C585" s="151"/>
      <c r="D585" s="151"/>
      <c r="E585" s="151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</row>
    <row r="586">
      <c r="A586" s="156"/>
      <c r="B586" s="151"/>
      <c r="C586" s="151"/>
      <c r="D586" s="151"/>
      <c r="E586" s="151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</row>
    <row r="587">
      <c r="A587" s="156"/>
      <c r="B587" s="151"/>
      <c r="C587" s="151"/>
      <c r="D587" s="151"/>
      <c r="E587" s="151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</row>
    <row r="588">
      <c r="A588" s="156"/>
      <c r="B588" s="151"/>
      <c r="C588" s="151"/>
      <c r="D588" s="151"/>
      <c r="E588" s="151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</row>
    <row r="589">
      <c r="A589" s="156"/>
      <c r="B589" s="151"/>
      <c r="C589" s="151"/>
      <c r="D589" s="151"/>
      <c r="E589" s="151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</row>
    <row r="590">
      <c r="A590" s="156"/>
      <c r="B590" s="151"/>
      <c r="C590" s="151"/>
      <c r="D590" s="151"/>
      <c r="E590" s="151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</row>
    <row r="591">
      <c r="A591" s="156"/>
      <c r="B591" s="151"/>
      <c r="C591" s="151"/>
      <c r="D591" s="151"/>
      <c r="E591" s="151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</row>
    <row r="592">
      <c r="A592" s="156"/>
      <c r="B592" s="151"/>
      <c r="C592" s="151"/>
      <c r="D592" s="151"/>
      <c r="E592" s="151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</row>
    <row r="593">
      <c r="A593" s="156"/>
      <c r="B593" s="151"/>
      <c r="C593" s="151"/>
      <c r="D593" s="151"/>
      <c r="E593" s="151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</row>
    <row r="594">
      <c r="A594" s="156"/>
      <c r="B594" s="151"/>
      <c r="C594" s="151"/>
      <c r="D594" s="151"/>
      <c r="E594" s="151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</row>
    <row r="595">
      <c r="A595" s="156"/>
      <c r="B595" s="151"/>
      <c r="C595" s="151"/>
      <c r="D595" s="151"/>
      <c r="E595" s="151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</row>
    <row r="596">
      <c r="A596" s="156"/>
      <c r="B596" s="151"/>
      <c r="C596" s="151"/>
      <c r="D596" s="151"/>
      <c r="E596" s="151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</row>
    <row r="597">
      <c r="A597" s="156"/>
      <c r="B597" s="151"/>
      <c r="C597" s="151"/>
      <c r="D597" s="151"/>
      <c r="E597" s="151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</row>
    <row r="598">
      <c r="A598" s="156"/>
      <c r="B598" s="151"/>
      <c r="C598" s="151"/>
      <c r="D598" s="151"/>
      <c r="E598" s="151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</row>
    <row r="599">
      <c r="A599" s="156"/>
      <c r="B599" s="151"/>
      <c r="C599" s="151"/>
      <c r="D599" s="151"/>
      <c r="E599" s="151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</row>
    <row r="600">
      <c r="A600" s="156"/>
      <c r="B600" s="151"/>
      <c r="C600" s="151"/>
      <c r="D600" s="151"/>
      <c r="E600" s="151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</row>
    <row r="601">
      <c r="A601" s="156"/>
      <c r="B601" s="151"/>
      <c r="C601" s="151"/>
      <c r="D601" s="151"/>
      <c r="E601" s="151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</row>
    <row r="602">
      <c r="A602" s="156"/>
      <c r="B602" s="151"/>
      <c r="C602" s="151"/>
      <c r="D602" s="151"/>
      <c r="E602" s="151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</row>
    <row r="603">
      <c r="A603" s="156"/>
      <c r="B603" s="151"/>
      <c r="C603" s="151"/>
      <c r="D603" s="151"/>
      <c r="E603" s="151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</row>
    <row r="604">
      <c r="A604" s="156"/>
      <c r="B604" s="151"/>
      <c r="C604" s="151"/>
      <c r="D604" s="151"/>
      <c r="E604" s="151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</row>
    <row r="605">
      <c r="A605" s="156"/>
      <c r="B605" s="151"/>
      <c r="C605" s="151"/>
      <c r="D605" s="151"/>
      <c r="E605" s="151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</row>
    <row r="606">
      <c r="A606" s="156"/>
      <c r="B606" s="151"/>
      <c r="C606" s="151"/>
      <c r="D606" s="151"/>
      <c r="E606" s="151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</row>
    <row r="607">
      <c r="A607" s="156"/>
      <c r="B607" s="151"/>
      <c r="C607" s="151"/>
      <c r="D607" s="151"/>
      <c r="E607" s="151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</row>
    <row r="608">
      <c r="A608" s="156"/>
      <c r="B608" s="151"/>
      <c r="C608" s="151"/>
      <c r="D608" s="151"/>
      <c r="E608" s="151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</row>
    <row r="609">
      <c r="A609" s="156"/>
      <c r="B609" s="151"/>
      <c r="C609" s="151"/>
      <c r="D609" s="151"/>
      <c r="E609" s="151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</row>
    <row r="610">
      <c r="A610" s="156"/>
      <c r="B610" s="151"/>
      <c r="C610" s="151"/>
      <c r="D610" s="151"/>
      <c r="E610" s="151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</row>
    <row r="611">
      <c r="A611" s="156"/>
      <c r="B611" s="151"/>
      <c r="C611" s="151"/>
      <c r="D611" s="151"/>
      <c r="E611" s="151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</row>
    <row r="612">
      <c r="A612" s="156"/>
      <c r="B612" s="151"/>
      <c r="C612" s="151"/>
      <c r="D612" s="151"/>
      <c r="E612" s="151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</row>
    <row r="613">
      <c r="A613" s="156"/>
      <c r="B613" s="151"/>
      <c r="C613" s="151"/>
      <c r="D613" s="151"/>
      <c r="E613" s="151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</row>
    <row r="614">
      <c r="A614" s="156"/>
      <c r="B614" s="151"/>
      <c r="C614" s="151"/>
      <c r="D614" s="151"/>
      <c r="E614" s="151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</row>
    <row r="615">
      <c r="A615" s="156"/>
      <c r="B615" s="151"/>
      <c r="C615" s="151"/>
      <c r="D615" s="151"/>
      <c r="E615" s="151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</row>
    <row r="616">
      <c r="A616" s="156"/>
      <c r="B616" s="151"/>
      <c r="C616" s="151"/>
      <c r="D616" s="151"/>
      <c r="E616" s="151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</row>
    <row r="617">
      <c r="A617" s="156"/>
      <c r="B617" s="151"/>
      <c r="C617" s="151"/>
      <c r="D617" s="151"/>
      <c r="E617" s="151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</row>
    <row r="618">
      <c r="A618" s="156"/>
      <c r="B618" s="151"/>
      <c r="C618" s="151"/>
      <c r="D618" s="151"/>
      <c r="E618" s="151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</row>
    <row r="619">
      <c r="A619" s="156"/>
      <c r="B619" s="151"/>
      <c r="C619" s="151"/>
      <c r="D619" s="151"/>
      <c r="E619" s="151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</row>
    <row r="620">
      <c r="A620" s="156"/>
      <c r="B620" s="151"/>
      <c r="C620" s="151"/>
      <c r="D620" s="151"/>
      <c r="E620" s="151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</row>
    <row r="621">
      <c r="A621" s="156"/>
      <c r="B621" s="151"/>
      <c r="C621" s="151"/>
      <c r="D621" s="151"/>
      <c r="E621" s="151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</row>
    <row r="622">
      <c r="A622" s="156"/>
      <c r="B622" s="151"/>
      <c r="C622" s="151"/>
      <c r="D622" s="151"/>
      <c r="E622" s="151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</row>
    <row r="623">
      <c r="A623" s="156"/>
      <c r="B623" s="151"/>
      <c r="C623" s="151"/>
      <c r="D623" s="151"/>
      <c r="E623" s="151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</row>
    <row r="624">
      <c r="A624" s="156"/>
      <c r="B624" s="151"/>
      <c r="C624" s="151"/>
      <c r="D624" s="151"/>
      <c r="E624" s="151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</row>
    <row r="625">
      <c r="A625" s="156"/>
      <c r="B625" s="151"/>
      <c r="C625" s="151"/>
      <c r="D625" s="151"/>
      <c r="E625" s="151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</row>
    <row r="626">
      <c r="A626" s="156"/>
      <c r="B626" s="151"/>
      <c r="C626" s="151"/>
      <c r="D626" s="151"/>
      <c r="E626" s="151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</row>
    <row r="627">
      <c r="A627" s="156"/>
      <c r="B627" s="151"/>
      <c r="C627" s="151"/>
      <c r="D627" s="151"/>
      <c r="E627" s="151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</row>
    <row r="628">
      <c r="A628" s="156"/>
      <c r="B628" s="151"/>
      <c r="C628" s="151"/>
      <c r="D628" s="151"/>
      <c r="E628" s="151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</row>
    <row r="629">
      <c r="A629" s="156"/>
      <c r="B629" s="151"/>
      <c r="C629" s="151"/>
      <c r="D629" s="151"/>
      <c r="E629" s="151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</row>
    <row r="630">
      <c r="A630" s="156"/>
      <c r="B630" s="151"/>
      <c r="C630" s="151"/>
      <c r="D630" s="151"/>
      <c r="E630" s="151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</row>
    <row r="631">
      <c r="A631" s="156"/>
      <c r="B631" s="151"/>
      <c r="C631" s="151"/>
      <c r="D631" s="151"/>
      <c r="E631" s="151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</row>
    <row r="632">
      <c r="A632" s="156"/>
      <c r="B632" s="151"/>
      <c r="C632" s="151"/>
      <c r="D632" s="151"/>
      <c r="E632" s="151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</row>
    <row r="633">
      <c r="A633" s="156"/>
      <c r="B633" s="151"/>
      <c r="C633" s="151"/>
      <c r="D633" s="151"/>
      <c r="E633" s="151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</row>
    <row r="634">
      <c r="A634" s="156"/>
      <c r="B634" s="151"/>
      <c r="C634" s="151"/>
      <c r="D634" s="151"/>
      <c r="E634" s="151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</row>
    <row r="635">
      <c r="A635" s="156"/>
      <c r="B635" s="151"/>
      <c r="C635" s="151"/>
      <c r="D635" s="151"/>
      <c r="E635" s="151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</row>
    <row r="636">
      <c r="A636" s="156"/>
      <c r="B636" s="151"/>
      <c r="C636" s="151"/>
      <c r="D636" s="151"/>
      <c r="E636" s="151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</row>
    <row r="637">
      <c r="A637" s="156"/>
      <c r="B637" s="151"/>
      <c r="C637" s="151"/>
      <c r="D637" s="151"/>
      <c r="E637" s="151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</row>
    <row r="638">
      <c r="A638" s="156"/>
      <c r="B638" s="151"/>
      <c r="C638" s="151"/>
      <c r="D638" s="151"/>
      <c r="E638" s="151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</row>
    <row r="639">
      <c r="A639" s="156"/>
      <c r="B639" s="151"/>
      <c r="C639" s="151"/>
      <c r="D639" s="151"/>
      <c r="E639" s="151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</row>
    <row r="640">
      <c r="A640" s="156"/>
      <c r="B640" s="151"/>
      <c r="C640" s="151"/>
      <c r="D640" s="151"/>
      <c r="E640" s="151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</row>
    <row r="641">
      <c r="A641" s="156"/>
      <c r="B641" s="151"/>
      <c r="C641" s="151"/>
      <c r="D641" s="151"/>
      <c r="E641" s="151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</row>
    <row r="642">
      <c r="A642" s="156"/>
      <c r="B642" s="151"/>
      <c r="C642" s="151"/>
      <c r="D642" s="151"/>
      <c r="E642" s="151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</row>
    <row r="643">
      <c r="A643" s="156"/>
      <c r="B643" s="151"/>
      <c r="C643" s="151"/>
      <c r="D643" s="151"/>
      <c r="E643" s="151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</row>
    <row r="644">
      <c r="A644" s="156"/>
      <c r="B644" s="151"/>
      <c r="C644" s="151"/>
      <c r="D644" s="151"/>
      <c r="E644" s="151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</row>
    <row r="645">
      <c r="A645" s="156"/>
      <c r="B645" s="151"/>
      <c r="C645" s="151"/>
      <c r="D645" s="151"/>
      <c r="E645" s="151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</row>
    <row r="646">
      <c r="A646" s="156"/>
      <c r="B646" s="151"/>
      <c r="C646" s="151"/>
      <c r="D646" s="151"/>
      <c r="E646" s="151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</row>
    <row r="647">
      <c r="A647" s="156"/>
      <c r="B647" s="151"/>
      <c r="C647" s="151"/>
      <c r="D647" s="151"/>
      <c r="E647" s="151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</row>
    <row r="648">
      <c r="A648" s="156"/>
      <c r="B648" s="151"/>
      <c r="C648" s="151"/>
      <c r="D648" s="151"/>
      <c r="E648" s="151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</row>
    <row r="649">
      <c r="A649" s="156"/>
      <c r="B649" s="151"/>
      <c r="C649" s="151"/>
      <c r="D649" s="151"/>
      <c r="E649" s="151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</row>
    <row r="650">
      <c r="A650" s="156"/>
      <c r="B650" s="151"/>
      <c r="C650" s="151"/>
      <c r="D650" s="151"/>
      <c r="E650" s="151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</row>
    <row r="651">
      <c r="A651" s="156"/>
      <c r="B651" s="151"/>
      <c r="C651" s="151"/>
      <c r="D651" s="151"/>
      <c r="E651" s="151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</row>
    <row r="652">
      <c r="A652" s="156"/>
      <c r="B652" s="151"/>
      <c r="C652" s="151"/>
      <c r="D652" s="151"/>
      <c r="E652" s="151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</row>
    <row r="653">
      <c r="A653" s="156"/>
      <c r="B653" s="151"/>
      <c r="C653" s="151"/>
      <c r="D653" s="151"/>
      <c r="E653" s="151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</row>
    <row r="654">
      <c r="A654" s="156"/>
      <c r="B654" s="151"/>
      <c r="C654" s="151"/>
      <c r="D654" s="151"/>
      <c r="E654" s="151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</row>
    <row r="655">
      <c r="A655" s="156"/>
      <c r="B655" s="151"/>
      <c r="C655" s="151"/>
      <c r="D655" s="151"/>
      <c r="E655" s="151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</row>
    <row r="656">
      <c r="A656" s="156"/>
      <c r="B656" s="151"/>
      <c r="C656" s="151"/>
      <c r="D656" s="151"/>
      <c r="E656" s="151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</row>
    <row r="657">
      <c r="A657" s="156"/>
      <c r="B657" s="151"/>
      <c r="C657" s="151"/>
      <c r="D657" s="151"/>
      <c r="E657" s="151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</row>
    <row r="658">
      <c r="A658" s="156"/>
      <c r="B658" s="151"/>
      <c r="C658" s="151"/>
      <c r="D658" s="151"/>
      <c r="E658" s="151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</row>
    <row r="659">
      <c r="A659" s="156"/>
      <c r="B659" s="151"/>
      <c r="C659" s="151"/>
      <c r="D659" s="151"/>
      <c r="E659" s="151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</row>
    <row r="660">
      <c r="A660" s="156"/>
      <c r="B660" s="151"/>
      <c r="C660" s="151"/>
      <c r="D660" s="151"/>
      <c r="E660" s="151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</row>
    <row r="661">
      <c r="A661" s="156"/>
      <c r="B661" s="151"/>
      <c r="C661" s="151"/>
      <c r="D661" s="151"/>
      <c r="E661" s="151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</row>
    <row r="662">
      <c r="A662" s="156"/>
      <c r="B662" s="151"/>
      <c r="C662" s="151"/>
      <c r="D662" s="151"/>
      <c r="E662" s="151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</row>
    <row r="663">
      <c r="A663" s="156"/>
      <c r="B663" s="151"/>
      <c r="C663" s="151"/>
      <c r="D663" s="151"/>
      <c r="E663" s="151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</row>
    <row r="664">
      <c r="A664" s="156"/>
      <c r="B664" s="151"/>
      <c r="C664" s="151"/>
      <c r="D664" s="151"/>
      <c r="E664" s="151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</row>
    <row r="665">
      <c r="A665" s="156"/>
      <c r="B665" s="151"/>
      <c r="C665" s="151"/>
      <c r="D665" s="151"/>
      <c r="E665" s="151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</row>
    <row r="666">
      <c r="A666" s="156"/>
      <c r="B666" s="151"/>
      <c r="C666" s="151"/>
      <c r="D666" s="151"/>
      <c r="E666" s="151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</row>
    <row r="667">
      <c r="A667" s="156"/>
      <c r="B667" s="151"/>
      <c r="C667" s="151"/>
      <c r="D667" s="151"/>
      <c r="E667" s="151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</row>
    <row r="668">
      <c r="A668" s="156"/>
      <c r="B668" s="151"/>
      <c r="C668" s="151"/>
      <c r="D668" s="151"/>
      <c r="E668" s="151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</row>
    <row r="669">
      <c r="A669" s="156"/>
      <c r="B669" s="151"/>
      <c r="C669" s="151"/>
      <c r="D669" s="151"/>
      <c r="E669" s="151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</row>
    <row r="670">
      <c r="A670" s="156"/>
      <c r="B670" s="151"/>
      <c r="C670" s="151"/>
      <c r="D670" s="151"/>
      <c r="E670" s="151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</row>
    <row r="671">
      <c r="A671" s="156"/>
      <c r="B671" s="151"/>
      <c r="C671" s="151"/>
      <c r="D671" s="151"/>
      <c r="E671" s="151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</row>
    <row r="672">
      <c r="A672" s="156"/>
      <c r="B672" s="151"/>
      <c r="C672" s="151"/>
      <c r="D672" s="151"/>
      <c r="E672" s="151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</row>
    <row r="673">
      <c r="A673" s="156"/>
      <c r="B673" s="151"/>
      <c r="C673" s="151"/>
      <c r="D673" s="151"/>
      <c r="E673" s="151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</row>
    <row r="674">
      <c r="A674" s="156"/>
      <c r="B674" s="151"/>
      <c r="C674" s="151"/>
      <c r="D674" s="151"/>
      <c r="E674" s="151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</row>
    <row r="675">
      <c r="A675" s="156"/>
      <c r="B675" s="151"/>
      <c r="C675" s="151"/>
      <c r="D675" s="151"/>
      <c r="E675" s="151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</row>
    <row r="676">
      <c r="A676" s="156"/>
      <c r="B676" s="151"/>
      <c r="C676" s="151"/>
      <c r="D676" s="151"/>
      <c r="E676" s="151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</row>
    <row r="677">
      <c r="A677" s="156"/>
      <c r="B677" s="151"/>
      <c r="C677" s="151"/>
      <c r="D677" s="151"/>
      <c r="E677" s="151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</row>
    <row r="678">
      <c r="A678" s="156"/>
      <c r="B678" s="151"/>
      <c r="C678" s="151"/>
      <c r="D678" s="151"/>
      <c r="E678" s="151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</row>
    <row r="679">
      <c r="A679" s="156"/>
      <c r="B679" s="151"/>
      <c r="C679" s="151"/>
      <c r="D679" s="151"/>
      <c r="E679" s="151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</row>
    <row r="680">
      <c r="A680" s="156"/>
      <c r="B680" s="151"/>
      <c r="C680" s="151"/>
      <c r="D680" s="151"/>
      <c r="E680" s="151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</row>
    <row r="681">
      <c r="A681" s="156"/>
      <c r="B681" s="151"/>
      <c r="C681" s="151"/>
      <c r="D681" s="151"/>
      <c r="E681" s="151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</row>
    <row r="682">
      <c r="A682" s="156"/>
      <c r="B682" s="151"/>
      <c r="C682" s="151"/>
      <c r="D682" s="151"/>
      <c r="E682" s="151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</row>
    <row r="683">
      <c r="A683" s="156"/>
      <c r="B683" s="151"/>
      <c r="C683" s="151"/>
      <c r="D683" s="151"/>
      <c r="E683" s="151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</row>
    <row r="684">
      <c r="A684" s="156"/>
      <c r="B684" s="151"/>
      <c r="C684" s="151"/>
      <c r="D684" s="151"/>
      <c r="E684" s="151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</row>
    <row r="685">
      <c r="A685" s="156"/>
      <c r="B685" s="151"/>
      <c r="C685" s="151"/>
      <c r="D685" s="151"/>
      <c r="E685" s="151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</row>
    <row r="686">
      <c r="A686" s="156"/>
      <c r="B686" s="151"/>
      <c r="C686" s="151"/>
      <c r="D686" s="151"/>
      <c r="E686" s="151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</row>
    <row r="687">
      <c r="A687" s="156"/>
      <c r="B687" s="151"/>
      <c r="C687" s="151"/>
      <c r="D687" s="151"/>
      <c r="E687" s="151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</row>
    <row r="688">
      <c r="A688" s="156"/>
      <c r="B688" s="151"/>
      <c r="C688" s="151"/>
      <c r="D688" s="151"/>
      <c r="E688" s="151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</row>
    <row r="689">
      <c r="A689" s="156"/>
      <c r="B689" s="151"/>
      <c r="C689" s="151"/>
      <c r="D689" s="151"/>
      <c r="E689" s="151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</row>
    <row r="690">
      <c r="A690" s="156"/>
      <c r="B690" s="151"/>
      <c r="C690" s="151"/>
      <c r="D690" s="151"/>
      <c r="E690" s="151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</row>
    <row r="691">
      <c r="A691" s="156"/>
      <c r="B691" s="151"/>
      <c r="C691" s="151"/>
      <c r="D691" s="151"/>
      <c r="E691" s="151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</row>
    <row r="692">
      <c r="A692" s="156"/>
      <c r="B692" s="151"/>
      <c r="C692" s="151"/>
      <c r="D692" s="151"/>
      <c r="E692" s="151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</row>
    <row r="693">
      <c r="A693" s="156"/>
      <c r="B693" s="151"/>
      <c r="C693" s="151"/>
      <c r="D693" s="151"/>
      <c r="E693" s="151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</row>
    <row r="694">
      <c r="A694" s="156"/>
      <c r="B694" s="151"/>
      <c r="C694" s="151"/>
      <c r="D694" s="151"/>
      <c r="E694" s="151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</row>
    <row r="695">
      <c r="A695" s="156"/>
      <c r="B695" s="151"/>
      <c r="C695" s="151"/>
      <c r="D695" s="151"/>
      <c r="E695" s="151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</row>
    <row r="696">
      <c r="A696" s="156"/>
      <c r="B696" s="151"/>
      <c r="C696" s="151"/>
      <c r="D696" s="151"/>
      <c r="E696" s="151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</row>
    <row r="697">
      <c r="A697" s="156"/>
      <c r="B697" s="151"/>
      <c r="C697" s="151"/>
      <c r="D697" s="151"/>
      <c r="E697" s="151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</row>
    <row r="698">
      <c r="A698" s="156"/>
      <c r="B698" s="151"/>
      <c r="C698" s="151"/>
      <c r="D698" s="151"/>
      <c r="E698" s="151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</row>
    <row r="699">
      <c r="A699" s="156"/>
      <c r="B699" s="151"/>
      <c r="C699" s="151"/>
      <c r="D699" s="151"/>
      <c r="E699" s="151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</row>
    <row r="700">
      <c r="A700" s="156"/>
      <c r="B700" s="151"/>
      <c r="C700" s="151"/>
      <c r="D700" s="151"/>
      <c r="E700" s="151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</row>
    <row r="701">
      <c r="A701" s="156"/>
      <c r="B701" s="151"/>
      <c r="C701" s="151"/>
      <c r="D701" s="151"/>
      <c r="E701" s="151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</row>
    <row r="702">
      <c r="A702" s="156"/>
      <c r="B702" s="151"/>
      <c r="C702" s="151"/>
      <c r="D702" s="151"/>
      <c r="E702" s="151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</row>
    <row r="703">
      <c r="A703" s="156"/>
      <c r="B703" s="151"/>
      <c r="C703" s="151"/>
      <c r="D703" s="151"/>
      <c r="E703" s="151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</row>
    <row r="704">
      <c r="A704" s="156"/>
      <c r="B704" s="151"/>
      <c r="C704" s="151"/>
      <c r="D704" s="151"/>
      <c r="E704" s="151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</row>
    <row r="705">
      <c r="A705" s="156"/>
      <c r="B705" s="151"/>
      <c r="C705" s="151"/>
      <c r="D705" s="151"/>
      <c r="E705" s="151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</row>
    <row r="706">
      <c r="A706" s="156"/>
      <c r="B706" s="151"/>
      <c r="C706" s="151"/>
      <c r="D706" s="151"/>
      <c r="E706" s="151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</row>
    <row r="707">
      <c r="A707" s="156"/>
      <c r="B707" s="151"/>
      <c r="C707" s="151"/>
      <c r="D707" s="151"/>
      <c r="E707" s="151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</row>
    <row r="708">
      <c r="A708" s="156"/>
      <c r="B708" s="151"/>
      <c r="C708" s="151"/>
      <c r="D708" s="151"/>
      <c r="E708" s="151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</row>
    <row r="709">
      <c r="A709" s="156"/>
      <c r="B709" s="151"/>
      <c r="C709" s="151"/>
      <c r="D709" s="151"/>
      <c r="E709" s="151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</row>
    <row r="710">
      <c r="A710" s="156"/>
      <c r="B710" s="151"/>
      <c r="C710" s="151"/>
      <c r="D710" s="151"/>
      <c r="E710" s="151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</row>
    <row r="711">
      <c r="A711" s="156"/>
      <c r="B711" s="151"/>
      <c r="C711" s="151"/>
      <c r="D711" s="151"/>
      <c r="E711" s="151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</row>
    <row r="712">
      <c r="A712" s="156"/>
      <c r="B712" s="151"/>
      <c r="C712" s="151"/>
      <c r="D712" s="151"/>
      <c r="E712" s="151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</row>
    <row r="713">
      <c r="A713" s="156"/>
      <c r="B713" s="151"/>
      <c r="C713" s="151"/>
      <c r="D713" s="151"/>
      <c r="E713" s="151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</row>
    <row r="714">
      <c r="A714" s="156"/>
      <c r="B714" s="151"/>
      <c r="C714" s="151"/>
      <c r="D714" s="151"/>
      <c r="E714" s="151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</row>
    <row r="715">
      <c r="A715" s="156"/>
      <c r="B715" s="151"/>
      <c r="C715" s="151"/>
      <c r="D715" s="151"/>
      <c r="E715" s="151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</row>
    <row r="716">
      <c r="A716" s="156"/>
      <c r="B716" s="151"/>
      <c r="C716" s="151"/>
      <c r="D716" s="151"/>
      <c r="E716" s="151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</row>
    <row r="717">
      <c r="A717" s="156"/>
      <c r="B717" s="151"/>
      <c r="C717" s="151"/>
      <c r="D717" s="151"/>
      <c r="E717" s="151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</row>
    <row r="718">
      <c r="A718" s="156"/>
      <c r="B718" s="151"/>
      <c r="C718" s="151"/>
      <c r="D718" s="151"/>
      <c r="E718" s="151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</row>
    <row r="719">
      <c r="A719" s="156"/>
      <c r="B719" s="151"/>
      <c r="C719" s="151"/>
      <c r="D719" s="151"/>
      <c r="E719" s="151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</row>
    <row r="720">
      <c r="A720" s="156"/>
      <c r="B720" s="151"/>
      <c r="C720" s="151"/>
      <c r="D720" s="151"/>
      <c r="E720" s="151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</row>
    <row r="721">
      <c r="A721" s="156"/>
      <c r="B721" s="151"/>
      <c r="C721" s="151"/>
      <c r="D721" s="151"/>
      <c r="E721" s="151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</row>
    <row r="722">
      <c r="A722" s="156"/>
      <c r="B722" s="151"/>
      <c r="C722" s="151"/>
      <c r="D722" s="151"/>
      <c r="E722" s="151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</row>
    <row r="723">
      <c r="A723" s="156"/>
      <c r="B723" s="151"/>
      <c r="C723" s="151"/>
      <c r="D723" s="151"/>
      <c r="E723" s="151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</row>
    <row r="724">
      <c r="A724" s="156"/>
      <c r="B724" s="151"/>
      <c r="C724" s="151"/>
      <c r="D724" s="151"/>
      <c r="E724" s="151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</row>
    <row r="725">
      <c r="A725" s="156"/>
      <c r="B725" s="151"/>
      <c r="C725" s="151"/>
      <c r="D725" s="151"/>
      <c r="E725" s="151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</row>
    <row r="726">
      <c r="A726" s="156"/>
      <c r="B726" s="151"/>
      <c r="C726" s="151"/>
      <c r="D726" s="151"/>
      <c r="E726" s="151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</row>
    <row r="727">
      <c r="A727" s="156"/>
      <c r="B727" s="151"/>
      <c r="C727" s="151"/>
      <c r="D727" s="151"/>
      <c r="E727" s="151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</row>
    <row r="728">
      <c r="A728" s="156"/>
      <c r="B728" s="151"/>
      <c r="C728" s="151"/>
      <c r="D728" s="151"/>
      <c r="E728" s="151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</row>
    <row r="729">
      <c r="A729" s="156"/>
      <c r="B729" s="151"/>
      <c r="C729" s="151"/>
      <c r="D729" s="151"/>
      <c r="E729" s="151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</row>
    <row r="730">
      <c r="A730" s="156"/>
      <c r="B730" s="151"/>
      <c r="C730" s="151"/>
      <c r="D730" s="151"/>
      <c r="E730" s="151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</row>
    <row r="731">
      <c r="A731" s="156"/>
      <c r="B731" s="151"/>
      <c r="C731" s="151"/>
      <c r="D731" s="151"/>
      <c r="E731" s="151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</row>
    <row r="732">
      <c r="A732" s="156"/>
      <c r="B732" s="151"/>
      <c r="C732" s="151"/>
      <c r="D732" s="151"/>
      <c r="E732" s="151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</row>
    <row r="733">
      <c r="A733" s="156"/>
      <c r="B733" s="151"/>
      <c r="C733" s="151"/>
      <c r="D733" s="151"/>
      <c r="E733" s="151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</row>
    <row r="734">
      <c r="A734" s="156"/>
      <c r="B734" s="151"/>
      <c r="C734" s="151"/>
      <c r="D734" s="151"/>
      <c r="E734" s="151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</row>
    <row r="735">
      <c r="A735" s="156"/>
      <c r="B735" s="151"/>
      <c r="C735" s="151"/>
      <c r="D735" s="151"/>
      <c r="E735" s="151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</row>
    <row r="736">
      <c r="A736" s="156"/>
      <c r="B736" s="151"/>
      <c r="C736" s="151"/>
      <c r="D736" s="151"/>
      <c r="E736" s="151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</row>
    <row r="737">
      <c r="A737" s="156"/>
      <c r="B737" s="151"/>
      <c r="C737" s="151"/>
      <c r="D737" s="151"/>
      <c r="E737" s="151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</row>
    <row r="738">
      <c r="A738" s="156"/>
      <c r="B738" s="151"/>
      <c r="C738" s="151"/>
      <c r="D738" s="151"/>
      <c r="E738" s="151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</row>
    <row r="739">
      <c r="A739" s="156"/>
      <c r="B739" s="151"/>
      <c r="C739" s="151"/>
      <c r="D739" s="151"/>
      <c r="E739" s="151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</row>
    <row r="740">
      <c r="A740" s="156"/>
      <c r="B740" s="151"/>
      <c r="C740" s="151"/>
      <c r="D740" s="151"/>
      <c r="E740" s="151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</row>
    <row r="741">
      <c r="A741" s="156"/>
      <c r="B741" s="151"/>
      <c r="C741" s="151"/>
      <c r="D741" s="151"/>
      <c r="E741" s="151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</row>
    <row r="742">
      <c r="A742" s="156"/>
      <c r="B742" s="151"/>
      <c r="C742" s="151"/>
      <c r="D742" s="151"/>
      <c r="E742" s="151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</row>
    <row r="743">
      <c r="A743" s="156"/>
      <c r="B743" s="151"/>
      <c r="C743" s="151"/>
      <c r="D743" s="151"/>
      <c r="E743" s="151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</row>
    <row r="744">
      <c r="A744" s="156"/>
      <c r="B744" s="151"/>
      <c r="C744" s="151"/>
      <c r="D744" s="151"/>
      <c r="E744" s="151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</row>
    <row r="745">
      <c r="A745" s="156"/>
      <c r="B745" s="151"/>
      <c r="C745" s="151"/>
      <c r="D745" s="151"/>
      <c r="E745" s="151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</row>
    <row r="746">
      <c r="A746" s="156"/>
      <c r="B746" s="151"/>
      <c r="C746" s="151"/>
      <c r="D746" s="151"/>
      <c r="E746" s="151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</row>
    <row r="747">
      <c r="A747" s="156"/>
      <c r="B747" s="151"/>
      <c r="C747" s="151"/>
      <c r="D747" s="151"/>
      <c r="E747" s="151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</row>
    <row r="748">
      <c r="A748" s="156"/>
      <c r="B748" s="151"/>
      <c r="C748" s="151"/>
      <c r="D748" s="151"/>
      <c r="E748" s="151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</row>
    <row r="749">
      <c r="A749" s="156"/>
      <c r="B749" s="151"/>
      <c r="C749" s="151"/>
      <c r="D749" s="151"/>
      <c r="E749" s="151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</row>
    <row r="750">
      <c r="A750" s="156"/>
      <c r="B750" s="151"/>
      <c r="C750" s="151"/>
      <c r="D750" s="151"/>
      <c r="E750" s="151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</row>
    <row r="751">
      <c r="A751" s="156"/>
      <c r="B751" s="151"/>
      <c r="C751" s="151"/>
      <c r="D751" s="151"/>
      <c r="E751" s="151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</row>
    <row r="752">
      <c r="A752" s="156"/>
      <c r="B752" s="151"/>
      <c r="C752" s="151"/>
      <c r="D752" s="151"/>
      <c r="E752" s="151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</row>
    <row r="753">
      <c r="A753" s="156"/>
      <c r="B753" s="151"/>
      <c r="C753" s="151"/>
      <c r="D753" s="151"/>
      <c r="E753" s="151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</row>
    <row r="754">
      <c r="A754" s="156"/>
      <c r="B754" s="151"/>
      <c r="C754" s="151"/>
      <c r="D754" s="151"/>
      <c r="E754" s="151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</row>
    <row r="755">
      <c r="A755" s="156"/>
      <c r="B755" s="151"/>
      <c r="C755" s="151"/>
      <c r="D755" s="151"/>
      <c r="E755" s="151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</row>
    <row r="756">
      <c r="A756" s="156"/>
      <c r="B756" s="151"/>
      <c r="C756" s="151"/>
      <c r="D756" s="151"/>
      <c r="E756" s="151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</row>
    <row r="757">
      <c r="A757" s="156"/>
      <c r="B757" s="151"/>
      <c r="C757" s="151"/>
      <c r="D757" s="151"/>
      <c r="E757" s="151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</row>
    <row r="758">
      <c r="A758" s="156"/>
      <c r="B758" s="151"/>
      <c r="C758" s="151"/>
      <c r="D758" s="151"/>
      <c r="E758" s="151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</row>
    <row r="759">
      <c r="A759" s="156"/>
      <c r="B759" s="151"/>
      <c r="C759" s="151"/>
      <c r="D759" s="151"/>
      <c r="E759" s="151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</row>
    <row r="760">
      <c r="A760" s="156"/>
      <c r="B760" s="151"/>
      <c r="C760" s="151"/>
      <c r="D760" s="151"/>
      <c r="E760" s="151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</row>
    <row r="761">
      <c r="A761" s="156"/>
      <c r="B761" s="151"/>
      <c r="C761" s="151"/>
      <c r="D761" s="151"/>
      <c r="E761" s="151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</row>
    <row r="762">
      <c r="A762" s="156"/>
      <c r="B762" s="151"/>
      <c r="C762" s="151"/>
      <c r="D762" s="151"/>
      <c r="E762" s="151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</row>
    <row r="763">
      <c r="A763" s="156"/>
      <c r="B763" s="151"/>
      <c r="C763" s="151"/>
      <c r="D763" s="151"/>
      <c r="E763" s="151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</row>
    <row r="764">
      <c r="A764" s="156"/>
      <c r="B764" s="151"/>
      <c r="C764" s="151"/>
      <c r="D764" s="151"/>
      <c r="E764" s="151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</row>
    <row r="765">
      <c r="A765" s="156"/>
      <c r="B765" s="151"/>
      <c r="C765" s="151"/>
      <c r="D765" s="151"/>
      <c r="E765" s="151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</row>
    <row r="766">
      <c r="A766" s="156"/>
      <c r="B766" s="151"/>
      <c r="C766" s="151"/>
      <c r="D766" s="151"/>
      <c r="E766" s="151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</row>
    <row r="767">
      <c r="A767" s="156"/>
      <c r="B767" s="151"/>
      <c r="C767" s="151"/>
      <c r="D767" s="151"/>
      <c r="E767" s="151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</row>
    <row r="768">
      <c r="A768" s="156"/>
      <c r="B768" s="151"/>
      <c r="C768" s="151"/>
      <c r="D768" s="151"/>
      <c r="E768" s="151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</row>
    <row r="769">
      <c r="A769" s="156"/>
      <c r="B769" s="151"/>
      <c r="C769" s="151"/>
      <c r="D769" s="151"/>
      <c r="E769" s="151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</row>
    <row r="770">
      <c r="A770" s="156"/>
      <c r="B770" s="151"/>
      <c r="C770" s="151"/>
      <c r="D770" s="151"/>
      <c r="E770" s="151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</row>
    <row r="771">
      <c r="A771" s="156"/>
      <c r="B771" s="151"/>
      <c r="C771" s="151"/>
      <c r="D771" s="151"/>
      <c r="E771" s="151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</row>
    <row r="772">
      <c r="A772" s="156"/>
      <c r="B772" s="151"/>
      <c r="C772" s="151"/>
      <c r="D772" s="151"/>
      <c r="E772" s="151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</row>
    <row r="773">
      <c r="A773" s="156"/>
      <c r="B773" s="151"/>
      <c r="C773" s="151"/>
      <c r="D773" s="151"/>
      <c r="E773" s="151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</row>
    <row r="774">
      <c r="A774" s="156"/>
      <c r="B774" s="151"/>
      <c r="C774" s="151"/>
      <c r="D774" s="151"/>
      <c r="E774" s="151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</row>
    <row r="775">
      <c r="A775" s="156"/>
      <c r="B775" s="151"/>
      <c r="C775" s="151"/>
      <c r="D775" s="151"/>
      <c r="E775" s="151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</row>
    <row r="776">
      <c r="A776" s="156"/>
      <c r="B776" s="151"/>
      <c r="C776" s="151"/>
      <c r="D776" s="151"/>
      <c r="E776" s="151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</row>
    <row r="777">
      <c r="A777" s="156"/>
      <c r="B777" s="151"/>
      <c r="C777" s="151"/>
      <c r="D777" s="151"/>
      <c r="E777" s="151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</row>
    <row r="778">
      <c r="A778" s="156"/>
      <c r="B778" s="151"/>
      <c r="C778" s="151"/>
      <c r="D778" s="151"/>
      <c r="E778" s="151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</row>
    <row r="779">
      <c r="A779" s="156"/>
      <c r="B779" s="151"/>
      <c r="C779" s="151"/>
      <c r="D779" s="151"/>
      <c r="E779" s="151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</row>
    <row r="780">
      <c r="A780" s="156"/>
      <c r="B780" s="151"/>
      <c r="C780" s="151"/>
      <c r="D780" s="151"/>
      <c r="E780" s="151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</row>
    <row r="781">
      <c r="A781" s="156"/>
      <c r="B781" s="151"/>
      <c r="C781" s="151"/>
      <c r="D781" s="151"/>
      <c r="E781" s="151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</row>
    <row r="782">
      <c r="A782" s="156"/>
      <c r="B782" s="151"/>
      <c r="C782" s="151"/>
      <c r="D782" s="151"/>
      <c r="E782" s="151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</row>
    <row r="783">
      <c r="A783" s="156"/>
      <c r="B783" s="151"/>
      <c r="C783" s="151"/>
      <c r="D783" s="151"/>
      <c r="E783" s="151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</row>
    <row r="784">
      <c r="A784" s="156"/>
      <c r="B784" s="151"/>
      <c r="C784" s="151"/>
      <c r="D784" s="151"/>
      <c r="E784" s="151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</row>
    <row r="785">
      <c r="A785" s="156"/>
      <c r="B785" s="151"/>
      <c r="C785" s="151"/>
      <c r="D785" s="151"/>
      <c r="E785" s="151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</row>
    <row r="786">
      <c r="A786" s="156"/>
      <c r="B786" s="151"/>
      <c r="C786" s="151"/>
      <c r="D786" s="151"/>
      <c r="E786" s="151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</row>
    <row r="787">
      <c r="A787" s="156"/>
      <c r="B787" s="151"/>
      <c r="C787" s="151"/>
      <c r="D787" s="151"/>
      <c r="E787" s="151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</row>
    <row r="788">
      <c r="A788" s="156"/>
      <c r="B788" s="151"/>
      <c r="C788" s="151"/>
      <c r="D788" s="151"/>
      <c r="E788" s="151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</row>
    <row r="789">
      <c r="A789" s="156"/>
      <c r="B789" s="151"/>
      <c r="C789" s="151"/>
      <c r="D789" s="151"/>
      <c r="E789" s="151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</row>
    <row r="790">
      <c r="A790" s="156"/>
      <c r="B790" s="151"/>
      <c r="C790" s="151"/>
      <c r="D790" s="151"/>
      <c r="E790" s="151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</row>
    <row r="791">
      <c r="A791" s="156"/>
      <c r="B791" s="151"/>
      <c r="C791" s="151"/>
      <c r="D791" s="151"/>
      <c r="E791" s="151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</row>
    <row r="792">
      <c r="A792" s="156"/>
      <c r="B792" s="151"/>
      <c r="C792" s="151"/>
      <c r="D792" s="151"/>
      <c r="E792" s="151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</row>
    <row r="793">
      <c r="A793" s="156"/>
      <c r="B793" s="151"/>
      <c r="C793" s="151"/>
      <c r="D793" s="151"/>
      <c r="E793" s="151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</row>
    <row r="794">
      <c r="A794" s="156"/>
      <c r="B794" s="151"/>
      <c r="C794" s="151"/>
      <c r="D794" s="151"/>
      <c r="E794" s="151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</row>
    <row r="795">
      <c r="A795" s="156"/>
      <c r="B795" s="151"/>
      <c r="C795" s="151"/>
      <c r="D795" s="151"/>
      <c r="E795" s="151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</row>
    <row r="796">
      <c r="A796" s="156"/>
      <c r="B796" s="151"/>
      <c r="C796" s="151"/>
      <c r="D796" s="151"/>
      <c r="E796" s="151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</row>
    <row r="797">
      <c r="A797" s="156"/>
      <c r="B797" s="151"/>
      <c r="C797" s="151"/>
      <c r="D797" s="151"/>
      <c r="E797" s="151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</row>
    <row r="798">
      <c r="A798" s="156"/>
      <c r="B798" s="151"/>
      <c r="C798" s="151"/>
      <c r="D798" s="151"/>
      <c r="E798" s="151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</row>
    <row r="799">
      <c r="A799" s="156"/>
      <c r="B799" s="151"/>
      <c r="C799" s="151"/>
      <c r="D799" s="151"/>
      <c r="E799" s="151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</row>
    <row r="800">
      <c r="A800" s="156"/>
      <c r="B800" s="151"/>
      <c r="C800" s="151"/>
      <c r="D800" s="151"/>
      <c r="E800" s="151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</row>
    <row r="801">
      <c r="A801" s="156"/>
      <c r="B801" s="151"/>
      <c r="C801" s="151"/>
      <c r="D801" s="151"/>
      <c r="E801" s="151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</row>
    <row r="802">
      <c r="A802" s="156"/>
      <c r="B802" s="151"/>
      <c r="C802" s="151"/>
      <c r="D802" s="151"/>
      <c r="E802" s="151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</row>
    <row r="803">
      <c r="A803" s="156"/>
      <c r="B803" s="151"/>
      <c r="C803" s="151"/>
      <c r="D803" s="151"/>
      <c r="E803" s="151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</row>
    <row r="804">
      <c r="A804" s="156"/>
      <c r="B804" s="151"/>
      <c r="C804" s="151"/>
      <c r="D804" s="151"/>
      <c r="E804" s="151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</row>
    <row r="805">
      <c r="A805" s="156"/>
      <c r="B805" s="151"/>
      <c r="C805" s="151"/>
      <c r="D805" s="151"/>
      <c r="E805" s="151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</row>
    <row r="806">
      <c r="A806" s="156"/>
      <c r="B806" s="151"/>
      <c r="C806" s="151"/>
      <c r="D806" s="151"/>
      <c r="E806" s="151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</row>
    <row r="807">
      <c r="A807" s="156"/>
      <c r="B807" s="151"/>
      <c r="C807" s="151"/>
      <c r="D807" s="151"/>
      <c r="E807" s="151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</row>
    <row r="808">
      <c r="A808" s="156"/>
      <c r="B808" s="151"/>
      <c r="C808" s="151"/>
      <c r="D808" s="151"/>
      <c r="E808" s="151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</row>
    <row r="809">
      <c r="A809" s="156"/>
      <c r="B809" s="151"/>
      <c r="C809" s="151"/>
      <c r="D809" s="151"/>
      <c r="E809" s="151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</row>
    <row r="810">
      <c r="A810" s="156"/>
      <c r="B810" s="151"/>
      <c r="C810" s="151"/>
      <c r="D810" s="151"/>
      <c r="E810" s="151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</row>
    <row r="811">
      <c r="A811" s="156"/>
      <c r="B811" s="151"/>
      <c r="C811" s="151"/>
      <c r="D811" s="151"/>
      <c r="E811" s="151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</row>
    <row r="812">
      <c r="A812" s="156"/>
      <c r="B812" s="151"/>
      <c r="C812" s="151"/>
      <c r="D812" s="151"/>
      <c r="E812" s="151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</row>
    <row r="813">
      <c r="A813" s="156"/>
      <c r="B813" s="151"/>
      <c r="C813" s="151"/>
      <c r="D813" s="151"/>
      <c r="E813" s="151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</row>
    <row r="814">
      <c r="A814" s="156"/>
      <c r="B814" s="151"/>
      <c r="C814" s="151"/>
      <c r="D814" s="151"/>
      <c r="E814" s="151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</row>
    <row r="815">
      <c r="A815" s="156"/>
      <c r="B815" s="151"/>
      <c r="C815" s="151"/>
      <c r="D815" s="151"/>
      <c r="E815" s="151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</row>
    <row r="816">
      <c r="A816" s="156"/>
      <c r="B816" s="151"/>
      <c r="C816" s="151"/>
      <c r="D816" s="151"/>
      <c r="E816" s="151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</row>
    <row r="817">
      <c r="A817" s="156"/>
      <c r="B817" s="151"/>
      <c r="C817" s="151"/>
      <c r="D817" s="151"/>
      <c r="E817" s="151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</row>
    <row r="818">
      <c r="A818" s="156"/>
      <c r="B818" s="151"/>
      <c r="C818" s="151"/>
      <c r="D818" s="151"/>
      <c r="E818" s="151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</row>
    <row r="819">
      <c r="A819" s="156"/>
      <c r="B819" s="151"/>
      <c r="C819" s="151"/>
      <c r="D819" s="151"/>
      <c r="E819" s="151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</row>
    <row r="820">
      <c r="A820" s="156"/>
      <c r="B820" s="151"/>
      <c r="C820" s="151"/>
      <c r="D820" s="151"/>
      <c r="E820" s="151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</row>
    <row r="821">
      <c r="A821" s="156"/>
      <c r="B821" s="151"/>
      <c r="C821" s="151"/>
      <c r="D821" s="151"/>
      <c r="E821" s="151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</row>
    <row r="822">
      <c r="A822" s="156"/>
      <c r="B822" s="151"/>
      <c r="C822" s="151"/>
      <c r="D822" s="151"/>
      <c r="E822" s="151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</row>
    <row r="823">
      <c r="A823" s="156"/>
      <c r="B823" s="151"/>
      <c r="C823" s="151"/>
      <c r="D823" s="151"/>
      <c r="E823" s="151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</row>
    <row r="824">
      <c r="A824" s="156"/>
      <c r="B824" s="151"/>
      <c r="C824" s="151"/>
      <c r="D824" s="151"/>
      <c r="E824" s="151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</row>
    <row r="825">
      <c r="A825" s="156"/>
      <c r="B825" s="151"/>
      <c r="C825" s="151"/>
      <c r="D825" s="151"/>
      <c r="E825" s="151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</row>
    <row r="826">
      <c r="A826" s="156"/>
      <c r="B826" s="151"/>
      <c r="C826" s="151"/>
      <c r="D826" s="151"/>
      <c r="E826" s="151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</row>
    <row r="827">
      <c r="A827" s="156"/>
      <c r="B827" s="151"/>
      <c r="C827" s="151"/>
      <c r="D827" s="151"/>
      <c r="E827" s="151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</row>
    <row r="828">
      <c r="A828" s="156"/>
      <c r="B828" s="151"/>
      <c r="C828" s="151"/>
      <c r="D828" s="151"/>
      <c r="E828" s="151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</row>
    <row r="829">
      <c r="A829" s="156"/>
      <c r="B829" s="151"/>
      <c r="C829" s="151"/>
      <c r="D829" s="151"/>
      <c r="E829" s="151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</row>
    <row r="830">
      <c r="A830" s="156"/>
      <c r="B830" s="151"/>
      <c r="C830" s="151"/>
      <c r="D830" s="151"/>
      <c r="E830" s="151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</row>
    <row r="831">
      <c r="A831" s="156"/>
      <c r="B831" s="151"/>
      <c r="C831" s="151"/>
      <c r="D831" s="151"/>
      <c r="E831" s="151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</row>
    <row r="832">
      <c r="A832" s="156"/>
      <c r="B832" s="151"/>
      <c r="C832" s="151"/>
      <c r="D832" s="151"/>
      <c r="E832" s="151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</row>
    <row r="833">
      <c r="A833" s="156"/>
      <c r="B833" s="151"/>
      <c r="C833" s="151"/>
      <c r="D833" s="151"/>
      <c r="E833" s="151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</row>
    <row r="834">
      <c r="A834" s="156"/>
      <c r="B834" s="151"/>
      <c r="C834" s="151"/>
      <c r="D834" s="151"/>
      <c r="E834" s="151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</row>
    <row r="835">
      <c r="A835" s="156"/>
      <c r="B835" s="151"/>
      <c r="C835" s="151"/>
      <c r="D835" s="151"/>
      <c r="E835" s="151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</row>
    <row r="836">
      <c r="A836" s="156"/>
      <c r="B836" s="151"/>
      <c r="C836" s="151"/>
      <c r="D836" s="151"/>
      <c r="E836" s="151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</row>
    <row r="837">
      <c r="A837" s="156"/>
      <c r="B837" s="151"/>
      <c r="C837" s="151"/>
      <c r="D837" s="151"/>
      <c r="E837" s="151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</row>
    <row r="838">
      <c r="A838" s="156"/>
      <c r="B838" s="151"/>
      <c r="C838" s="151"/>
      <c r="D838" s="151"/>
      <c r="E838" s="151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</row>
    <row r="839">
      <c r="A839" s="156"/>
      <c r="B839" s="151"/>
      <c r="C839" s="151"/>
      <c r="D839" s="151"/>
      <c r="E839" s="151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</row>
    <row r="840">
      <c r="A840" s="156"/>
      <c r="B840" s="151"/>
      <c r="C840" s="151"/>
      <c r="D840" s="151"/>
      <c r="E840" s="151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</row>
    <row r="841">
      <c r="A841" s="156"/>
      <c r="B841" s="151"/>
      <c r="C841" s="151"/>
      <c r="D841" s="151"/>
      <c r="E841" s="151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</row>
    <row r="842">
      <c r="A842" s="156"/>
      <c r="B842" s="151"/>
      <c r="C842" s="151"/>
      <c r="D842" s="151"/>
      <c r="E842" s="151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</row>
    <row r="843">
      <c r="A843" s="156"/>
      <c r="B843" s="151"/>
      <c r="C843" s="151"/>
      <c r="D843" s="151"/>
      <c r="E843" s="151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</row>
    <row r="844">
      <c r="A844" s="156"/>
      <c r="B844" s="151"/>
      <c r="C844" s="151"/>
      <c r="D844" s="151"/>
      <c r="E844" s="151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</row>
    <row r="845">
      <c r="A845" s="156"/>
      <c r="B845" s="151"/>
      <c r="C845" s="151"/>
      <c r="D845" s="151"/>
      <c r="E845" s="151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</row>
    <row r="846">
      <c r="A846" s="156"/>
      <c r="B846" s="151"/>
      <c r="C846" s="151"/>
      <c r="D846" s="151"/>
      <c r="E846" s="151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</row>
    <row r="847">
      <c r="A847" s="156"/>
      <c r="B847" s="151"/>
      <c r="C847" s="151"/>
      <c r="D847" s="151"/>
      <c r="E847" s="151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</row>
    <row r="848">
      <c r="A848" s="156"/>
      <c r="B848" s="151"/>
      <c r="C848" s="151"/>
      <c r="D848" s="151"/>
      <c r="E848" s="151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</row>
    <row r="849">
      <c r="A849" s="156"/>
      <c r="B849" s="151"/>
      <c r="C849" s="151"/>
      <c r="D849" s="151"/>
      <c r="E849" s="151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</row>
    <row r="850">
      <c r="A850" s="156"/>
      <c r="B850" s="151"/>
      <c r="C850" s="151"/>
      <c r="D850" s="151"/>
      <c r="E850" s="151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</row>
    <row r="851">
      <c r="A851" s="156"/>
      <c r="B851" s="151"/>
      <c r="C851" s="151"/>
      <c r="D851" s="151"/>
      <c r="E851" s="151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</row>
    <row r="852">
      <c r="A852" s="156"/>
      <c r="B852" s="151"/>
      <c r="C852" s="151"/>
      <c r="D852" s="151"/>
      <c r="E852" s="151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</row>
    <row r="853">
      <c r="A853" s="156"/>
      <c r="B853" s="151"/>
      <c r="C853" s="151"/>
      <c r="D853" s="151"/>
      <c r="E853" s="151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</row>
    <row r="854">
      <c r="A854" s="156"/>
      <c r="B854" s="151"/>
      <c r="C854" s="151"/>
      <c r="D854" s="151"/>
      <c r="E854" s="151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</row>
    <row r="855">
      <c r="A855" s="156"/>
      <c r="B855" s="151"/>
      <c r="C855" s="151"/>
      <c r="D855" s="151"/>
      <c r="E855" s="151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</row>
    <row r="856">
      <c r="A856" s="156"/>
      <c r="B856" s="151"/>
      <c r="C856" s="151"/>
      <c r="D856" s="151"/>
      <c r="E856" s="151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</row>
    <row r="857">
      <c r="A857" s="156"/>
      <c r="B857" s="151"/>
      <c r="C857" s="151"/>
      <c r="D857" s="151"/>
      <c r="E857" s="151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</row>
    <row r="858">
      <c r="A858" s="156"/>
      <c r="B858" s="151"/>
      <c r="C858" s="151"/>
      <c r="D858" s="151"/>
      <c r="E858" s="151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</row>
    <row r="859">
      <c r="A859" s="156"/>
      <c r="B859" s="151"/>
      <c r="C859" s="151"/>
      <c r="D859" s="151"/>
      <c r="E859" s="151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</row>
    <row r="860">
      <c r="A860" s="156"/>
      <c r="B860" s="151"/>
      <c r="C860" s="151"/>
      <c r="D860" s="151"/>
      <c r="E860" s="151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</row>
    <row r="861">
      <c r="A861" s="156"/>
      <c r="B861" s="151"/>
      <c r="C861" s="151"/>
      <c r="D861" s="151"/>
      <c r="E861" s="151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</row>
    <row r="862">
      <c r="A862" s="156"/>
      <c r="B862" s="151"/>
      <c r="C862" s="151"/>
      <c r="D862" s="151"/>
      <c r="E862" s="151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</row>
    <row r="863">
      <c r="A863" s="156"/>
      <c r="B863" s="151"/>
      <c r="C863" s="151"/>
      <c r="D863" s="151"/>
      <c r="E863" s="151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</row>
    <row r="864">
      <c r="A864" s="156"/>
      <c r="B864" s="151"/>
      <c r="C864" s="151"/>
      <c r="D864" s="151"/>
      <c r="E864" s="151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</row>
    <row r="865">
      <c r="A865" s="156"/>
      <c r="B865" s="151"/>
      <c r="C865" s="151"/>
      <c r="D865" s="151"/>
      <c r="E865" s="151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</row>
    <row r="866">
      <c r="A866" s="156"/>
      <c r="B866" s="151"/>
      <c r="C866" s="151"/>
      <c r="D866" s="151"/>
      <c r="E866" s="151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</row>
    <row r="867">
      <c r="A867" s="156"/>
      <c r="B867" s="151"/>
      <c r="C867" s="151"/>
      <c r="D867" s="151"/>
      <c r="E867" s="151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</row>
    <row r="868">
      <c r="A868" s="156"/>
      <c r="B868" s="151"/>
      <c r="C868" s="151"/>
      <c r="D868" s="151"/>
      <c r="E868" s="151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</row>
    <row r="869">
      <c r="A869" s="156"/>
      <c r="B869" s="151"/>
      <c r="C869" s="151"/>
      <c r="D869" s="151"/>
      <c r="E869" s="151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</row>
    <row r="870">
      <c r="A870" s="156"/>
      <c r="B870" s="151"/>
      <c r="C870" s="151"/>
      <c r="D870" s="151"/>
      <c r="E870" s="151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</row>
    <row r="871">
      <c r="A871" s="156"/>
      <c r="B871" s="151"/>
      <c r="C871" s="151"/>
      <c r="D871" s="151"/>
      <c r="E871" s="151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</row>
    <row r="872">
      <c r="A872" s="156"/>
      <c r="B872" s="151"/>
      <c r="C872" s="151"/>
      <c r="D872" s="151"/>
      <c r="E872" s="151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</row>
    <row r="873">
      <c r="A873" s="156"/>
      <c r="B873" s="151"/>
      <c r="C873" s="151"/>
      <c r="D873" s="151"/>
      <c r="E873" s="151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</row>
    <row r="874">
      <c r="A874" s="156"/>
      <c r="B874" s="151"/>
      <c r="C874" s="151"/>
      <c r="D874" s="151"/>
      <c r="E874" s="151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</row>
    <row r="875">
      <c r="A875" s="156"/>
      <c r="B875" s="151"/>
      <c r="C875" s="151"/>
      <c r="D875" s="151"/>
      <c r="E875" s="151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</row>
    <row r="876">
      <c r="A876" s="156"/>
      <c r="B876" s="151"/>
      <c r="C876" s="151"/>
      <c r="D876" s="151"/>
      <c r="E876" s="151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</row>
    <row r="877">
      <c r="A877" s="156"/>
      <c r="B877" s="151"/>
      <c r="C877" s="151"/>
      <c r="D877" s="151"/>
      <c r="E877" s="151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</row>
    <row r="878">
      <c r="A878" s="156"/>
      <c r="B878" s="151"/>
      <c r="C878" s="151"/>
      <c r="D878" s="151"/>
      <c r="E878" s="151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</row>
    <row r="879">
      <c r="A879" s="156"/>
      <c r="B879" s="151"/>
      <c r="C879" s="151"/>
      <c r="D879" s="151"/>
      <c r="E879" s="151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</row>
    <row r="880">
      <c r="A880" s="156"/>
      <c r="B880" s="151"/>
      <c r="C880" s="151"/>
      <c r="D880" s="151"/>
      <c r="E880" s="151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</row>
    <row r="881">
      <c r="A881" s="156"/>
      <c r="B881" s="151"/>
      <c r="C881" s="151"/>
      <c r="D881" s="151"/>
      <c r="E881" s="151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</row>
    <row r="882">
      <c r="A882" s="156"/>
      <c r="B882" s="151"/>
      <c r="C882" s="151"/>
      <c r="D882" s="151"/>
      <c r="E882" s="151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</row>
    <row r="883">
      <c r="A883" s="156"/>
      <c r="B883" s="151"/>
      <c r="C883" s="151"/>
      <c r="D883" s="151"/>
      <c r="E883" s="151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</row>
    <row r="884">
      <c r="A884" s="156"/>
      <c r="B884" s="151"/>
      <c r="C884" s="151"/>
      <c r="D884" s="151"/>
      <c r="E884" s="151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</row>
    <row r="885">
      <c r="A885" s="156"/>
      <c r="B885" s="151"/>
      <c r="C885" s="151"/>
      <c r="D885" s="151"/>
      <c r="E885" s="151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</row>
    <row r="886">
      <c r="A886" s="156"/>
      <c r="B886" s="151"/>
      <c r="C886" s="151"/>
      <c r="D886" s="151"/>
      <c r="E886" s="151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</row>
    <row r="887">
      <c r="A887" s="156"/>
      <c r="B887" s="151"/>
      <c r="C887" s="151"/>
      <c r="D887" s="151"/>
      <c r="E887" s="151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</row>
    <row r="888">
      <c r="A888" s="156"/>
      <c r="B888" s="151"/>
      <c r="C888" s="151"/>
      <c r="D888" s="151"/>
      <c r="E888" s="151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</row>
    <row r="889">
      <c r="A889" s="156"/>
      <c r="B889" s="151"/>
      <c r="C889" s="151"/>
      <c r="D889" s="151"/>
      <c r="E889" s="151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</row>
    <row r="890">
      <c r="A890" s="156"/>
      <c r="B890" s="151"/>
      <c r="C890" s="151"/>
      <c r="D890" s="151"/>
      <c r="E890" s="151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</row>
    <row r="891">
      <c r="A891" s="156"/>
      <c r="B891" s="151"/>
      <c r="C891" s="151"/>
      <c r="D891" s="151"/>
      <c r="E891" s="151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</row>
    <row r="892">
      <c r="A892" s="156"/>
      <c r="B892" s="151"/>
      <c r="C892" s="151"/>
      <c r="D892" s="151"/>
      <c r="E892" s="151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</row>
    <row r="893">
      <c r="A893" s="156"/>
      <c r="B893" s="151"/>
      <c r="C893" s="151"/>
      <c r="D893" s="151"/>
      <c r="E893" s="151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</row>
    <row r="894">
      <c r="A894" s="156"/>
      <c r="B894" s="151"/>
      <c r="C894" s="151"/>
      <c r="D894" s="151"/>
      <c r="E894" s="151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</row>
    <row r="895">
      <c r="A895" s="156"/>
      <c r="B895" s="151"/>
      <c r="C895" s="151"/>
      <c r="D895" s="151"/>
      <c r="E895" s="151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</row>
    <row r="896">
      <c r="A896" s="156"/>
      <c r="B896" s="151"/>
      <c r="C896" s="151"/>
      <c r="D896" s="151"/>
      <c r="E896" s="151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</row>
    <row r="897">
      <c r="A897" s="156"/>
      <c r="B897" s="151"/>
      <c r="C897" s="151"/>
      <c r="D897" s="151"/>
      <c r="E897" s="151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</row>
    <row r="898">
      <c r="A898" s="156"/>
      <c r="B898" s="151"/>
      <c r="C898" s="151"/>
      <c r="D898" s="151"/>
      <c r="E898" s="151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</row>
    <row r="899">
      <c r="A899" s="156"/>
      <c r="B899" s="151"/>
      <c r="C899" s="151"/>
      <c r="D899" s="151"/>
      <c r="E899" s="151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</row>
    <row r="900">
      <c r="A900" s="156"/>
      <c r="B900" s="151"/>
      <c r="C900" s="151"/>
      <c r="D900" s="151"/>
      <c r="E900" s="151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</row>
    <row r="901">
      <c r="A901" s="156"/>
      <c r="B901" s="151"/>
      <c r="C901" s="151"/>
      <c r="D901" s="151"/>
      <c r="E901" s="151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</row>
    <row r="902">
      <c r="A902" s="156"/>
      <c r="B902" s="151"/>
      <c r="C902" s="151"/>
      <c r="D902" s="151"/>
      <c r="E902" s="151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</row>
    <row r="903">
      <c r="A903" s="156"/>
      <c r="B903" s="151"/>
      <c r="C903" s="151"/>
      <c r="D903" s="151"/>
      <c r="E903" s="151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</row>
    <row r="904">
      <c r="A904" s="156"/>
      <c r="B904" s="151"/>
      <c r="C904" s="151"/>
      <c r="D904" s="151"/>
      <c r="E904" s="151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</row>
    <row r="905">
      <c r="A905" s="156"/>
      <c r="B905" s="151"/>
      <c r="C905" s="151"/>
      <c r="D905" s="151"/>
      <c r="E905" s="151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</row>
    <row r="906">
      <c r="A906" s="156"/>
      <c r="B906" s="151"/>
      <c r="C906" s="151"/>
      <c r="D906" s="151"/>
      <c r="E906" s="151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</row>
    <row r="907">
      <c r="A907" s="156"/>
      <c r="B907" s="151"/>
      <c r="C907" s="151"/>
      <c r="D907" s="151"/>
      <c r="E907" s="151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</row>
    <row r="908">
      <c r="A908" s="156"/>
      <c r="B908" s="151"/>
      <c r="C908" s="151"/>
      <c r="D908" s="151"/>
      <c r="E908" s="151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</row>
    <row r="909">
      <c r="A909" s="156"/>
      <c r="B909" s="151"/>
      <c r="C909" s="151"/>
      <c r="D909" s="151"/>
      <c r="E909" s="151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</row>
    <row r="910">
      <c r="A910" s="156"/>
      <c r="B910" s="151"/>
      <c r="C910" s="151"/>
      <c r="D910" s="151"/>
      <c r="E910" s="151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</row>
    <row r="911">
      <c r="A911" s="156"/>
      <c r="B911" s="151"/>
      <c r="C911" s="151"/>
      <c r="D911" s="151"/>
      <c r="E911" s="151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</row>
    <row r="912">
      <c r="A912" s="156"/>
      <c r="B912" s="151"/>
      <c r="C912" s="151"/>
      <c r="D912" s="151"/>
      <c r="E912" s="151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</row>
    <row r="913">
      <c r="A913" s="156"/>
      <c r="B913" s="151"/>
      <c r="C913" s="151"/>
      <c r="D913" s="151"/>
      <c r="E913" s="151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</row>
    <row r="914">
      <c r="A914" s="156"/>
      <c r="B914" s="151"/>
      <c r="C914" s="151"/>
      <c r="D914" s="151"/>
      <c r="E914" s="151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</row>
    <row r="915">
      <c r="A915" s="156"/>
      <c r="B915" s="151"/>
      <c r="C915" s="151"/>
      <c r="D915" s="151"/>
      <c r="E915" s="151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</row>
    <row r="916">
      <c r="A916" s="156"/>
      <c r="B916" s="151"/>
      <c r="C916" s="151"/>
      <c r="D916" s="151"/>
      <c r="E916" s="151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</row>
    <row r="917">
      <c r="A917" s="156"/>
      <c r="B917" s="151"/>
      <c r="C917" s="151"/>
      <c r="D917" s="151"/>
      <c r="E917" s="151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</row>
    <row r="918">
      <c r="A918" s="156"/>
      <c r="B918" s="151"/>
      <c r="C918" s="151"/>
      <c r="D918" s="151"/>
      <c r="E918" s="151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</row>
    <row r="919">
      <c r="A919" s="156"/>
      <c r="B919" s="151"/>
      <c r="C919" s="151"/>
      <c r="D919" s="151"/>
      <c r="E919" s="151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</row>
    <row r="920">
      <c r="A920" s="156"/>
      <c r="B920" s="151"/>
      <c r="C920" s="151"/>
      <c r="D920" s="151"/>
      <c r="E920" s="151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</row>
    <row r="921">
      <c r="A921" s="156"/>
      <c r="B921" s="151"/>
      <c r="C921" s="151"/>
      <c r="D921" s="151"/>
      <c r="E921" s="151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</row>
    <row r="922">
      <c r="A922" s="156"/>
      <c r="B922" s="151"/>
      <c r="C922" s="151"/>
      <c r="D922" s="151"/>
      <c r="E922" s="151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</row>
    <row r="923">
      <c r="A923" s="156"/>
      <c r="B923" s="151"/>
      <c r="C923" s="151"/>
      <c r="D923" s="151"/>
      <c r="E923" s="151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</row>
    <row r="924">
      <c r="A924" s="156"/>
      <c r="B924" s="151"/>
      <c r="C924" s="151"/>
      <c r="D924" s="151"/>
      <c r="E924" s="151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</row>
    <row r="925">
      <c r="A925" s="156"/>
      <c r="B925" s="151"/>
      <c r="C925" s="151"/>
      <c r="D925" s="151"/>
      <c r="E925" s="151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</row>
    <row r="926">
      <c r="A926" s="156"/>
      <c r="B926" s="151"/>
      <c r="C926" s="151"/>
      <c r="D926" s="151"/>
      <c r="E926" s="151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</row>
    <row r="927">
      <c r="A927" s="156"/>
      <c r="B927" s="151"/>
      <c r="C927" s="151"/>
      <c r="D927" s="151"/>
      <c r="E927" s="151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</row>
    <row r="928">
      <c r="A928" s="156"/>
      <c r="B928" s="151"/>
      <c r="C928" s="151"/>
      <c r="D928" s="151"/>
      <c r="E928" s="151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</row>
    <row r="929">
      <c r="A929" s="156"/>
      <c r="B929" s="151"/>
      <c r="C929" s="151"/>
      <c r="D929" s="151"/>
      <c r="E929" s="151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</row>
    <row r="930">
      <c r="A930" s="156"/>
      <c r="B930" s="151"/>
      <c r="C930" s="151"/>
      <c r="D930" s="151"/>
      <c r="E930" s="151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</row>
    <row r="931">
      <c r="A931" s="156"/>
      <c r="B931" s="151"/>
      <c r="C931" s="151"/>
      <c r="D931" s="151"/>
      <c r="E931" s="151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</row>
    <row r="932">
      <c r="A932" s="156"/>
      <c r="B932" s="151"/>
      <c r="C932" s="151"/>
      <c r="D932" s="151"/>
      <c r="E932" s="151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</row>
    <row r="933">
      <c r="A933" s="156"/>
      <c r="B933" s="151"/>
      <c r="C933" s="151"/>
      <c r="D933" s="151"/>
      <c r="E933" s="151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</row>
    <row r="934">
      <c r="A934" s="156"/>
      <c r="B934" s="151"/>
      <c r="C934" s="151"/>
      <c r="D934" s="151"/>
      <c r="E934" s="151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</row>
    <row r="935">
      <c r="A935" s="156"/>
      <c r="B935" s="151"/>
      <c r="C935" s="151"/>
      <c r="D935" s="151"/>
      <c r="E935" s="151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</row>
    <row r="936">
      <c r="A936" s="156"/>
      <c r="B936" s="151"/>
      <c r="C936" s="151"/>
      <c r="D936" s="151"/>
      <c r="E936" s="151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</row>
    <row r="937">
      <c r="A937" s="156"/>
      <c r="B937" s="151"/>
      <c r="C937" s="151"/>
      <c r="D937" s="151"/>
      <c r="E937" s="151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</row>
    <row r="938">
      <c r="A938" s="156"/>
      <c r="B938" s="151"/>
      <c r="C938" s="151"/>
      <c r="D938" s="151"/>
      <c r="E938" s="151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</row>
    <row r="939">
      <c r="A939" s="156"/>
      <c r="B939" s="151"/>
      <c r="C939" s="151"/>
      <c r="D939" s="151"/>
      <c r="E939" s="151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</row>
    <row r="940">
      <c r="A940" s="156"/>
      <c r="B940" s="151"/>
      <c r="C940" s="151"/>
      <c r="D940" s="151"/>
      <c r="E940" s="151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</row>
    <row r="941">
      <c r="A941" s="156"/>
      <c r="B941" s="151"/>
      <c r="C941" s="151"/>
      <c r="D941" s="151"/>
      <c r="E941" s="151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</row>
    <row r="942">
      <c r="A942" s="156"/>
      <c r="B942" s="151"/>
      <c r="C942" s="151"/>
      <c r="D942" s="151"/>
      <c r="E942" s="151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</row>
    <row r="943">
      <c r="A943" s="156"/>
      <c r="B943" s="151"/>
      <c r="C943" s="151"/>
      <c r="D943" s="151"/>
      <c r="E943" s="151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</row>
    <row r="944">
      <c r="A944" s="156"/>
      <c r="B944" s="151"/>
      <c r="C944" s="151"/>
      <c r="D944" s="151"/>
      <c r="E944" s="151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</row>
    <row r="945">
      <c r="A945" s="156"/>
      <c r="B945" s="151"/>
      <c r="C945" s="151"/>
      <c r="D945" s="151"/>
      <c r="E945" s="151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</row>
    <row r="946">
      <c r="A946" s="156"/>
      <c r="B946" s="151"/>
      <c r="C946" s="151"/>
      <c r="D946" s="151"/>
      <c r="E946" s="151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</row>
    <row r="947">
      <c r="A947" s="156"/>
      <c r="B947" s="151"/>
      <c r="C947" s="151"/>
      <c r="D947" s="151"/>
      <c r="E947" s="151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</row>
    <row r="948">
      <c r="A948" s="156"/>
      <c r="B948" s="151"/>
      <c r="C948" s="151"/>
      <c r="D948" s="151"/>
      <c r="E948" s="151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</row>
    <row r="949">
      <c r="A949" s="156"/>
      <c r="B949" s="151"/>
      <c r="C949" s="151"/>
      <c r="D949" s="151"/>
      <c r="E949" s="151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</row>
    <row r="950">
      <c r="A950" s="156"/>
      <c r="B950" s="151"/>
      <c r="C950" s="151"/>
      <c r="D950" s="151"/>
      <c r="E950" s="151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</row>
    <row r="951">
      <c r="A951" s="156"/>
      <c r="B951" s="151"/>
      <c r="C951" s="151"/>
      <c r="D951" s="151"/>
      <c r="E951" s="151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</row>
    <row r="952">
      <c r="A952" s="156"/>
      <c r="B952" s="151"/>
      <c r="C952" s="151"/>
      <c r="D952" s="151"/>
      <c r="E952" s="151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</row>
    <row r="953">
      <c r="A953" s="156"/>
      <c r="B953" s="151"/>
      <c r="C953" s="151"/>
      <c r="D953" s="151"/>
      <c r="E953" s="151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</row>
    <row r="954">
      <c r="A954" s="156"/>
      <c r="B954" s="151"/>
      <c r="C954" s="151"/>
      <c r="D954" s="151"/>
      <c r="E954" s="151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</row>
    <row r="955">
      <c r="A955" s="156"/>
      <c r="B955" s="151"/>
      <c r="C955" s="151"/>
      <c r="D955" s="151"/>
      <c r="E955" s="151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</row>
    <row r="956">
      <c r="A956" s="156"/>
      <c r="B956" s="151"/>
      <c r="C956" s="151"/>
      <c r="D956" s="151"/>
      <c r="E956" s="151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</row>
    <row r="957">
      <c r="A957" s="156"/>
      <c r="B957" s="151"/>
      <c r="C957" s="151"/>
      <c r="D957" s="151"/>
      <c r="E957" s="151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</row>
    <row r="958">
      <c r="A958" s="156"/>
      <c r="B958" s="151"/>
      <c r="C958" s="151"/>
      <c r="D958" s="151"/>
      <c r="E958" s="151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</row>
    <row r="959">
      <c r="A959" s="156"/>
      <c r="B959" s="151"/>
      <c r="C959" s="151"/>
      <c r="D959" s="151"/>
      <c r="E959" s="151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</row>
    <row r="960">
      <c r="A960" s="156"/>
      <c r="B960" s="151"/>
      <c r="C960" s="151"/>
      <c r="D960" s="151"/>
      <c r="E960" s="151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</row>
    <row r="961">
      <c r="A961" s="156"/>
      <c r="B961" s="151"/>
      <c r="C961" s="151"/>
      <c r="D961" s="151"/>
      <c r="E961" s="151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</row>
    <row r="962">
      <c r="A962" s="156"/>
      <c r="B962" s="151"/>
      <c r="C962" s="151"/>
      <c r="D962" s="151"/>
      <c r="E962" s="151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</row>
    <row r="963">
      <c r="A963" s="156"/>
      <c r="B963" s="151"/>
      <c r="C963" s="151"/>
      <c r="D963" s="151"/>
      <c r="E963" s="151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</row>
    <row r="964">
      <c r="A964" s="156"/>
      <c r="B964" s="151"/>
      <c r="C964" s="151"/>
      <c r="D964" s="151"/>
      <c r="E964" s="151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</row>
    <row r="965">
      <c r="A965" s="156"/>
      <c r="B965" s="151"/>
      <c r="C965" s="151"/>
      <c r="D965" s="151"/>
      <c r="E965" s="151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</row>
    <row r="966">
      <c r="A966" s="156"/>
      <c r="B966" s="151"/>
      <c r="C966" s="151"/>
      <c r="D966" s="151"/>
      <c r="E966" s="151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</row>
    <row r="967">
      <c r="A967" s="156"/>
      <c r="B967" s="151"/>
      <c r="C967" s="151"/>
      <c r="D967" s="151"/>
      <c r="E967" s="151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</row>
    <row r="968">
      <c r="A968" s="156"/>
      <c r="B968" s="151"/>
      <c r="C968" s="151"/>
      <c r="D968" s="151"/>
      <c r="E968" s="151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</row>
    <row r="969">
      <c r="A969" s="156"/>
      <c r="B969" s="151"/>
      <c r="C969" s="151"/>
      <c r="D969" s="151"/>
      <c r="E969" s="151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</row>
    <row r="970">
      <c r="A970" s="156"/>
      <c r="B970" s="151"/>
      <c r="C970" s="151"/>
      <c r="D970" s="151"/>
      <c r="E970" s="151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</row>
    <row r="971">
      <c r="A971" s="156"/>
      <c r="B971" s="151"/>
      <c r="C971" s="151"/>
      <c r="D971" s="151"/>
      <c r="E971" s="151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</row>
    <row r="972">
      <c r="A972" s="156"/>
      <c r="B972" s="151"/>
      <c r="C972" s="151"/>
      <c r="D972" s="151"/>
      <c r="E972" s="151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</row>
    <row r="973">
      <c r="A973" s="156"/>
      <c r="B973" s="151"/>
      <c r="C973" s="151"/>
      <c r="D973" s="151"/>
      <c r="E973" s="151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</row>
    <row r="974">
      <c r="A974" s="156"/>
      <c r="B974" s="151"/>
      <c r="C974" s="151"/>
      <c r="D974" s="151"/>
      <c r="E974" s="151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</row>
    <row r="975">
      <c r="A975" s="156"/>
      <c r="B975" s="151"/>
      <c r="C975" s="151"/>
      <c r="D975" s="151"/>
      <c r="E975" s="151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</row>
    <row r="976">
      <c r="A976" s="156"/>
      <c r="B976" s="151"/>
      <c r="C976" s="151"/>
      <c r="D976" s="151"/>
      <c r="E976" s="151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</row>
    <row r="977">
      <c r="A977" s="156"/>
      <c r="B977" s="151"/>
      <c r="C977" s="151"/>
      <c r="D977" s="151"/>
      <c r="E977" s="151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</row>
    <row r="978">
      <c r="A978" s="156"/>
      <c r="B978" s="151"/>
      <c r="C978" s="151"/>
      <c r="D978" s="151"/>
      <c r="E978" s="151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</row>
    <row r="979">
      <c r="A979" s="156"/>
      <c r="B979" s="151"/>
      <c r="C979" s="151"/>
      <c r="D979" s="151"/>
      <c r="E979" s="151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</row>
    <row r="980">
      <c r="A980" s="156"/>
      <c r="B980" s="151"/>
      <c r="C980" s="151"/>
      <c r="D980" s="151"/>
      <c r="E980" s="151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</row>
    <row r="981">
      <c r="A981" s="156"/>
      <c r="B981" s="151"/>
      <c r="C981" s="151"/>
      <c r="D981" s="151"/>
      <c r="E981" s="151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</row>
    <row r="982">
      <c r="A982" s="156"/>
      <c r="B982" s="151"/>
      <c r="C982" s="151"/>
      <c r="D982" s="151"/>
      <c r="E982" s="151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</row>
    <row r="983">
      <c r="A983" s="156"/>
      <c r="B983" s="151"/>
      <c r="C983" s="151"/>
      <c r="D983" s="151"/>
      <c r="E983" s="151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</row>
    <row r="984">
      <c r="A984" s="156"/>
      <c r="B984" s="151"/>
      <c r="C984" s="151"/>
      <c r="D984" s="151"/>
      <c r="E984" s="151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</row>
    <row r="985">
      <c r="A985" s="156"/>
      <c r="B985" s="151"/>
      <c r="C985" s="151"/>
      <c r="D985" s="151"/>
      <c r="E985" s="151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</row>
    <row r="986">
      <c r="A986" s="156"/>
      <c r="B986" s="151"/>
      <c r="C986" s="151"/>
      <c r="D986" s="151"/>
      <c r="E986" s="151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</row>
    <row r="987">
      <c r="A987" s="156"/>
      <c r="B987" s="151"/>
      <c r="C987" s="151"/>
      <c r="D987" s="151"/>
      <c r="E987" s="151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</row>
    <row r="988">
      <c r="A988" s="156"/>
      <c r="B988" s="151"/>
      <c r="C988" s="151"/>
      <c r="D988" s="151"/>
      <c r="E988" s="151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</row>
    <row r="989">
      <c r="A989" s="156"/>
      <c r="B989" s="151"/>
      <c r="C989" s="151"/>
      <c r="D989" s="151"/>
      <c r="E989" s="151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</row>
    <row r="990">
      <c r="A990" s="156"/>
      <c r="B990" s="151"/>
      <c r="C990" s="151"/>
      <c r="D990" s="151"/>
      <c r="E990" s="151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</row>
    <row r="991">
      <c r="A991" s="156"/>
      <c r="B991" s="151"/>
      <c r="C991" s="151"/>
      <c r="D991" s="151"/>
      <c r="E991" s="151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</row>
    <row r="992">
      <c r="A992" s="156"/>
      <c r="B992" s="151"/>
      <c r="C992" s="151"/>
      <c r="D992" s="151"/>
      <c r="E992" s="151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</row>
    <row r="993">
      <c r="A993" s="156"/>
      <c r="B993" s="151"/>
      <c r="C993" s="151"/>
      <c r="D993" s="151"/>
      <c r="E993" s="151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</row>
    <row r="994">
      <c r="A994" s="156"/>
      <c r="B994" s="151"/>
      <c r="C994" s="151"/>
      <c r="D994" s="151"/>
      <c r="E994" s="151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</row>
    <row r="995">
      <c r="A995" s="156"/>
      <c r="B995" s="151"/>
      <c r="C995" s="151"/>
      <c r="D995" s="151"/>
      <c r="E995" s="151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</row>
    <row r="996">
      <c r="A996" s="156"/>
      <c r="B996" s="151"/>
      <c r="C996" s="151"/>
      <c r="D996" s="151"/>
      <c r="E996" s="151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</row>
    <row r="997">
      <c r="A997" s="156"/>
      <c r="B997" s="151"/>
      <c r="C997" s="151"/>
      <c r="D997" s="151"/>
      <c r="E997" s="151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</row>
    <row r="998">
      <c r="A998" s="156"/>
      <c r="B998" s="151"/>
      <c r="C998" s="151"/>
      <c r="D998" s="151"/>
      <c r="E998" s="151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</row>
    <row r="999">
      <c r="A999" s="156"/>
      <c r="B999" s="151"/>
      <c r="C999" s="151"/>
      <c r="D999" s="151"/>
      <c r="E999" s="151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</row>
    <row r="1000">
      <c r="A1000" s="156"/>
      <c r="B1000" s="151"/>
      <c r="C1000" s="151"/>
      <c r="D1000" s="151"/>
      <c r="E1000" s="151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</row>
    <row r="1001">
      <c r="A1001" s="156"/>
      <c r="B1001" s="151"/>
      <c r="C1001" s="151"/>
      <c r="D1001" s="151"/>
      <c r="E1001" s="151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  <c r="AA1001" s="136"/>
      <c r="AB1001" s="1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8.88"/>
  </cols>
  <sheetData>
    <row r="1">
      <c r="A1" s="136"/>
      <c r="B1" s="136"/>
    </row>
    <row r="2"/>
    <row r="3"/>
    <row r="4"/>
    <row r="5"/>
    <row r="6"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</row>
    <row r="7"/>
    <row r="8"/>
    <row r="9"/>
    <row r="10"/>
    <row r="11"/>
    <row r="12"/>
    <row r="13"/>
    <row r="14"/>
    <row r="15"/>
    <row r="16">
      <c r="A16" s="136"/>
    </row>
    <row r="17">
      <c r="A17" s="136"/>
      <c r="B17" s="107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</row>
    <row r="18">
      <c r="A18" s="136"/>
    </row>
    <row r="19">
      <c r="A19" s="136"/>
    </row>
    <row r="20">
      <c r="A20" s="136"/>
    </row>
    <row r="21">
      <c r="A21" s="136"/>
      <c r="B21" s="136"/>
    </row>
    <row r="22">
      <c r="A22" s="136"/>
      <c r="B22" s="136"/>
    </row>
    <row r="23">
      <c r="A23" s="136"/>
      <c r="B23" s="136"/>
    </row>
    <row r="24">
      <c r="A24" s="136"/>
      <c r="B24" s="136"/>
    </row>
    <row r="25">
      <c r="A25" s="136"/>
      <c r="B25" s="136"/>
    </row>
    <row r="26">
      <c r="A26" s="136"/>
      <c r="B26" s="136"/>
    </row>
    <row r="27">
      <c r="A27" s="136"/>
      <c r="B27" s="136"/>
    </row>
    <row r="28">
      <c r="A28" s="136"/>
      <c r="B28" s="136"/>
    </row>
    <row r="29">
      <c r="A29" s="136"/>
      <c r="B29" s="136"/>
    </row>
    <row r="30">
      <c r="A30" s="136"/>
      <c r="B30" s="136"/>
    </row>
    <row r="31">
      <c r="A31" s="136"/>
      <c r="B31" s="136"/>
    </row>
    <row r="32">
      <c r="A32" s="136"/>
      <c r="B32" s="136"/>
    </row>
    <row r="33">
      <c r="A33" s="136"/>
      <c r="B33" s="136"/>
    </row>
    <row r="34">
      <c r="A34" s="136"/>
      <c r="B34" s="136"/>
    </row>
    <row r="35">
      <c r="A35" s="136"/>
      <c r="B35" s="136"/>
    </row>
    <row r="36">
      <c r="A36" s="136"/>
      <c r="B36" s="136"/>
    </row>
    <row r="37">
      <c r="A37" s="136"/>
      <c r="B37" s="136"/>
    </row>
    <row r="38">
      <c r="A38" s="136"/>
      <c r="B38" s="136"/>
    </row>
    <row r="39">
      <c r="A39" s="136"/>
      <c r="B39" s="136"/>
    </row>
    <row r="40">
      <c r="A40" s="136"/>
      <c r="B40" s="136"/>
    </row>
    <row r="41">
      <c r="A41" s="136"/>
      <c r="B41" s="136"/>
    </row>
    <row r="42">
      <c r="A42" s="136"/>
      <c r="B42" s="136"/>
    </row>
    <row r="43">
      <c r="A43" s="136"/>
      <c r="B43" s="136"/>
    </row>
    <row r="44">
      <c r="A44" s="136"/>
      <c r="B44" s="136"/>
    </row>
    <row r="45">
      <c r="A45" s="136"/>
      <c r="B45" s="136"/>
    </row>
    <row r="46">
      <c r="A46" s="136"/>
      <c r="B46" s="136"/>
    </row>
    <row r="47">
      <c r="A47" s="136"/>
      <c r="B47" s="136"/>
    </row>
    <row r="48">
      <c r="A48" s="136"/>
      <c r="B48" s="136"/>
    </row>
    <row r="49">
      <c r="A49" s="136"/>
      <c r="B49" s="136"/>
    </row>
    <row r="50">
      <c r="A50" s="136"/>
      <c r="B50" s="136"/>
    </row>
    <row r="51">
      <c r="A51" s="136"/>
      <c r="B51" s="136"/>
    </row>
    <row r="52">
      <c r="A52" s="136"/>
      <c r="B52" s="136"/>
    </row>
    <row r="53">
      <c r="A53" s="136"/>
      <c r="B53" s="136"/>
    </row>
    <row r="54">
      <c r="A54" s="136"/>
      <c r="B54" s="136"/>
    </row>
    <row r="55">
      <c r="A55" s="136"/>
      <c r="B55" s="136"/>
    </row>
    <row r="56">
      <c r="A56" s="136"/>
      <c r="B56" s="136"/>
    </row>
    <row r="57">
      <c r="A57" s="136"/>
      <c r="B57" s="136"/>
    </row>
    <row r="58">
      <c r="A58" s="136"/>
      <c r="B58" s="136"/>
    </row>
    <row r="59">
      <c r="A59" s="136"/>
      <c r="B59" s="136"/>
    </row>
    <row r="60">
      <c r="A60" s="136"/>
      <c r="B60" s="136"/>
    </row>
    <row r="61">
      <c r="A61" s="136"/>
      <c r="B61" s="136"/>
    </row>
    <row r="62">
      <c r="A62" s="136"/>
      <c r="B62" s="136"/>
    </row>
    <row r="63">
      <c r="A63" s="136"/>
      <c r="B63" s="136"/>
    </row>
    <row r="64">
      <c r="A64" s="136"/>
      <c r="B64" s="136"/>
    </row>
    <row r="65">
      <c r="A65" s="136"/>
      <c r="B65" s="136"/>
    </row>
    <row r="66">
      <c r="A66" s="136"/>
      <c r="B66" s="136"/>
    </row>
    <row r="67">
      <c r="A67" s="136"/>
      <c r="B67" s="136"/>
    </row>
    <row r="68">
      <c r="A68" s="136"/>
      <c r="B68" s="136"/>
    </row>
    <row r="69">
      <c r="A69" s="136"/>
      <c r="B69" s="136"/>
    </row>
    <row r="70">
      <c r="A70" s="136"/>
      <c r="B70" s="136"/>
    </row>
    <row r="71">
      <c r="A71" s="136"/>
      <c r="B71" s="136"/>
    </row>
    <row r="72">
      <c r="A72" s="136"/>
      <c r="B72" s="136"/>
    </row>
    <row r="73">
      <c r="A73" s="136"/>
      <c r="B73" s="136"/>
    </row>
    <row r="74">
      <c r="A74" s="136"/>
      <c r="B74" s="136"/>
    </row>
    <row r="75">
      <c r="A75" s="136"/>
      <c r="B75" s="136"/>
    </row>
    <row r="76">
      <c r="A76" s="136"/>
      <c r="B76" s="136"/>
    </row>
    <row r="77">
      <c r="A77" s="136"/>
      <c r="B77" s="136"/>
    </row>
    <row r="78">
      <c r="A78" s="136"/>
      <c r="B78" s="136"/>
    </row>
    <row r="79">
      <c r="A79" s="136"/>
      <c r="B79" s="136"/>
    </row>
    <row r="80">
      <c r="A80" s="136"/>
      <c r="B80" s="136"/>
    </row>
    <row r="81">
      <c r="A81" s="136"/>
      <c r="B81" s="136"/>
    </row>
    <row r="82">
      <c r="A82" s="136"/>
      <c r="B82" s="136"/>
    </row>
    <row r="83">
      <c r="A83" s="136"/>
      <c r="B83" s="136"/>
    </row>
    <row r="84">
      <c r="A84" s="136"/>
      <c r="B84" s="136"/>
    </row>
    <row r="85">
      <c r="A85" s="136"/>
      <c r="B85" s="136"/>
    </row>
    <row r="86">
      <c r="A86" s="136"/>
      <c r="B86" s="136"/>
    </row>
    <row r="87">
      <c r="A87" s="136"/>
      <c r="B87" s="136"/>
    </row>
    <row r="88">
      <c r="A88" s="136"/>
      <c r="B88" s="136"/>
    </row>
    <row r="89">
      <c r="A89" s="136"/>
      <c r="B89" s="136"/>
    </row>
    <row r="90">
      <c r="A90" s="136"/>
      <c r="B90" s="136"/>
    </row>
    <row r="91">
      <c r="A91" s="136"/>
      <c r="B91" s="136"/>
    </row>
    <row r="92">
      <c r="A92" s="136"/>
      <c r="B92" s="136"/>
    </row>
    <row r="93">
      <c r="A93" s="136"/>
      <c r="B93" s="136"/>
    </row>
    <row r="94">
      <c r="A94" s="136"/>
      <c r="B94" s="136"/>
    </row>
    <row r="95">
      <c r="A95" s="136"/>
      <c r="B95" s="136"/>
    </row>
    <row r="96">
      <c r="A96" s="136"/>
      <c r="B96" s="136"/>
    </row>
    <row r="97">
      <c r="A97" s="136"/>
      <c r="B97" s="136"/>
    </row>
    <row r="98">
      <c r="A98" s="136"/>
      <c r="B98" s="136"/>
    </row>
    <row r="99">
      <c r="A99" s="136"/>
      <c r="B99" s="136"/>
    </row>
    <row r="100">
      <c r="A100" s="136"/>
      <c r="B100" s="136"/>
    </row>
    <row r="101">
      <c r="A101" s="136"/>
      <c r="B101" s="136"/>
    </row>
    <row r="102">
      <c r="A102" s="136"/>
      <c r="B102" s="136"/>
    </row>
    <row r="103">
      <c r="A103" s="136"/>
      <c r="B103" s="136"/>
    </row>
    <row r="104">
      <c r="A104" s="136"/>
      <c r="B104" s="136"/>
    </row>
    <row r="105">
      <c r="A105" s="136"/>
      <c r="B105" s="136"/>
    </row>
    <row r="106">
      <c r="A106" s="136"/>
      <c r="B106" s="136"/>
    </row>
    <row r="107">
      <c r="A107" s="136"/>
      <c r="B107" s="136"/>
    </row>
    <row r="108">
      <c r="A108" s="136"/>
      <c r="B108" s="136"/>
    </row>
    <row r="109">
      <c r="A109" s="136"/>
      <c r="B109" s="136"/>
    </row>
    <row r="110">
      <c r="A110" s="136"/>
      <c r="B110" s="136"/>
    </row>
    <row r="111">
      <c r="A111" s="136"/>
      <c r="B111" s="136"/>
    </row>
    <row r="112">
      <c r="A112" s="136"/>
      <c r="B112" s="136"/>
    </row>
    <row r="113">
      <c r="A113" s="136"/>
      <c r="B113" s="136"/>
    </row>
    <row r="114">
      <c r="A114" s="136"/>
      <c r="B114" s="136"/>
    </row>
    <row r="115">
      <c r="A115" s="136"/>
      <c r="B115" s="136"/>
    </row>
    <row r="116">
      <c r="A116" s="136"/>
      <c r="B116" s="136"/>
    </row>
    <row r="117">
      <c r="A117" s="136"/>
      <c r="B117" s="136"/>
    </row>
    <row r="118">
      <c r="A118" s="136"/>
      <c r="B118" s="136"/>
    </row>
    <row r="119">
      <c r="A119" s="136"/>
      <c r="B119" s="136"/>
    </row>
    <row r="120">
      <c r="A120" s="136"/>
      <c r="B120" s="136"/>
    </row>
    <row r="121">
      <c r="A121" s="136"/>
      <c r="B121" s="136"/>
    </row>
    <row r="122">
      <c r="A122" s="136"/>
      <c r="B122" s="136"/>
    </row>
    <row r="123">
      <c r="A123" s="136"/>
      <c r="B123" s="136"/>
    </row>
    <row r="124">
      <c r="A124" s="136"/>
      <c r="B124" s="136"/>
    </row>
    <row r="125">
      <c r="A125" s="136"/>
      <c r="B125" s="136"/>
    </row>
    <row r="126">
      <c r="A126" s="136"/>
      <c r="B126" s="136"/>
    </row>
    <row r="127">
      <c r="A127" s="136"/>
      <c r="B127" s="136"/>
    </row>
    <row r="128">
      <c r="A128" s="136"/>
      <c r="B128" s="136"/>
    </row>
    <row r="129">
      <c r="A129" s="136"/>
      <c r="B129" s="136"/>
    </row>
    <row r="130">
      <c r="A130" s="136"/>
      <c r="B130" s="136"/>
    </row>
    <row r="131">
      <c r="A131" s="136"/>
      <c r="B131" s="136"/>
    </row>
    <row r="132">
      <c r="A132" s="136"/>
      <c r="B132" s="136"/>
    </row>
    <row r="133">
      <c r="A133" s="136"/>
      <c r="B133" s="136"/>
    </row>
    <row r="134">
      <c r="A134" s="136"/>
      <c r="B134" s="136"/>
    </row>
    <row r="135">
      <c r="A135" s="136"/>
      <c r="B135" s="136"/>
    </row>
    <row r="136">
      <c r="A136" s="136"/>
      <c r="B136" s="136"/>
    </row>
    <row r="137">
      <c r="A137" s="136"/>
      <c r="B137" s="136"/>
    </row>
    <row r="138">
      <c r="A138" s="136"/>
      <c r="B138" s="136"/>
    </row>
    <row r="139">
      <c r="A139" s="136"/>
      <c r="B139" s="136"/>
    </row>
    <row r="140">
      <c r="A140" s="136"/>
      <c r="B140" s="136"/>
    </row>
    <row r="141">
      <c r="A141" s="136"/>
      <c r="B141" s="136"/>
    </row>
    <row r="142">
      <c r="A142" s="136"/>
      <c r="B142" s="136"/>
    </row>
    <row r="143">
      <c r="A143" s="136"/>
      <c r="B143" s="136"/>
    </row>
    <row r="144">
      <c r="A144" s="136"/>
      <c r="B144" s="136"/>
    </row>
    <row r="145">
      <c r="A145" s="136"/>
      <c r="B145" s="136"/>
    </row>
    <row r="146">
      <c r="A146" s="136"/>
      <c r="B146" s="136"/>
    </row>
    <row r="147">
      <c r="A147" s="136"/>
      <c r="B147" s="136"/>
    </row>
    <row r="148">
      <c r="A148" s="136"/>
      <c r="B148" s="136"/>
    </row>
    <row r="149">
      <c r="A149" s="136"/>
      <c r="B149" s="136"/>
    </row>
    <row r="150">
      <c r="A150" s="136"/>
      <c r="B150" s="136"/>
    </row>
    <row r="151">
      <c r="A151" s="136"/>
      <c r="B151" s="136"/>
    </row>
    <row r="152">
      <c r="A152" s="136"/>
      <c r="B152" s="136"/>
    </row>
    <row r="153">
      <c r="A153" s="136"/>
      <c r="B153" s="136"/>
    </row>
    <row r="154">
      <c r="A154" s="136"/>
      <c r="B154" s="136"/>
    </row>
    <row r="155">
      <c r="A155" s="136"/>
      <c r="B155" s="136"/>
    </row>
    <row r="156">
      <c r="A156" s="136"/>
      <c r="B156" s="136"/>
    </row>
    <row r="157">
      <c r="A157" s="136"/>
      <c r="B157" s="136"/>
    </row>
    <row r="158">
      <c r="A158" s="136"/>
      <c r="B158" s="136"/>
    </row>
    <row r="159">
      <c r="A159" s="136"/>
      <c r="B159" s="136"/>
    </row>
    <row r="160">
      <c r="A160" s="136"/>
      <c r="B160" s="136"/>
    </row>
    <row r="161">
      <c r="A161" s="136"/>
      <c r="B161" s="136"/>
    </row>
    <row r="162">
      <c r="A162" s="136"/>
      <c r="B162" s="136"/>
    </row>
    <row r="163">
      <c r="A163" s="136"/>
      <c r="B163" s="136"/>
    </row>
    <row r="164">
      <c r="A164" s="136"/>
      <c r="B164" s="136"/>
    </row>
    <row r="165">
      <c r="A165" s="136"/>
      <c r="B165" s="136"/>
    </row>
    <row r="166">
      <c r="A166" s="136"/>
      <c r="B166" s="136"/>
    </row>
    <row r="167">
      <c r="A167" s="136"/>
      <c r="B167" s="136"/>
    </row>
    <row r="168">
      <c r="A168" s="136"/>
      <c r="B168" s="136"/>
    </row>
    <row r="169">
      <c r="A169" s="136"/>
      <c r="B169" s="136"/>
    </row>
    <row r="170">
      <c r="A170" s="136"/>
      <c r="B170" s="136"/>
    </row>
    <row r="171">
      <c r="A171" s="136"/>
      <c r="B171" s="136"/>
    </row>
    <row r="172">
      <c r="A172" s="136"/>
      <c r="B172" s="136"/>
    </row>
    <row r="173">
      <c r="A173" s="136"/>
      <c r="B173" s="136"/>
    </row>
    <row r="174">
      <c r="A174" s="136"/>
      <c r="B174" s="136"/>
    </row>
    <row r="175">
      <c r="A175" s="136"/>
      <c r="B175" s="136"/>
    </row>
    <row r="176">
      <c r="A176" s="136"/>
      <c r="B176" s="136"/>
    </row>
    <row r="177">
      <c r="A177" s="136"/>
      <c r="B177" s="136"/>
    </row>
    <row r="178">
      <c r="A178" s="136"/>
      <c r="B178" s="136"/>
    </row>
    <row r="179">
      <c r="A179" s="136"/>
      <c r="B179" s="136"/>
    </row>
    <row r="180">
      <c r="A180" s="136"/>
      <c r="B180" s="136"/>
    </row>
    <row r="181">
      <c r="A181" s="136"/>
      <c r="B181" s="136"/>
    </row>
    <row r="182">
      <c r="A182" s="136"/>
      <c r="B182" s="136"/>
    </row>
    <row r="183">
      <c r="A183" s="136"/>
      <c r="B183" s="136"/>
    </row>
    <row r="184">
      <c r="A184" s="136"/>
      <c r="B184" s="136"/>
    </row>
    <row r="185">
      <c r="A185" s="136"/>
      <c r="B185" s="136"/>
    </row>
    <row r="186">
      <c r="A186" s="136"/>
      <c r="B186" s="136"/>
    </row>
    <row r="187">
      <c r="A187" s="136"/>
      <c r="B187" s="136"/>
    </row>
    <row r="188">
      <c r="A188" s="136"/>
      <c r="B188" s="136"/>
    </row>
    <row r="189">
      <c r="A189" s="136"/>
      <c r="B189" s="136"/>
    </row>
    <row r="190">
      <c r="A190" s="136"/>
      <c r="B190" s="136"/>
    </row>
    <row r="191">
      <c r="A191" s="136"/>
      <c r="B191" s="136"/>
    </row>
    <row r="192">
      <c r="A192" s="136"/>
      <c r="B192" s="136"/>
    </row>
    <row r="193">
      <c r="A193" s="136"/>
      <c r="B193" s="136"/>
    </row>
    <row r="194">
      <c r="A194" s="136"/>
      <c r="B194" s="136"/>
    </row>
    <row r="195">
      <c r="A195" s="136"/>
      <c r="B195" s="136"/>
    </row>
    <row r="196">
      <c r="A196" s="136"/>
      <c r="B196" s="136"/>
    </row>
    <row r="197">
      <c r="A197" s="136"/>
      <c r="B197" s="136"/>
    </row>
    <row r="198">
      <c r="A198" s="136"/>
      <c r="B198" s="136"/>
    </row>
    <row r="199">
      <c r="A199" s="136"/>
      <c r="B199" s="136"/>
    </row>
    <row r="200">
      <c r="A200" s="136"/>
      <c r="B200" s="136"/>
    </row>
    <row r="201">
      <c r="A201" s="136"/>
      <c r="B201" s="136"/>
    </row>
    <row r="202">
      <c r="A202" s="136"/>
      <c r="B202" s="136"/>
    </row>
    <row r="203">
      <c r="A203" s="136"/>
      <c r="B203" s="136"/>
    </row>
    <row r="204">
      <c r="A204" s="136"/>
      <c r="B204" s="136"/>
    </row>
    <row r="205">
      <c r="A205" s="136"/>
      <c r="B205" s="136"/>
    </row>
    <row r="206">
      <c r="A206" s="136"/>
      <c r="B206" s="136"/>
    </row>
    <row r="207">
      <c r="A207" s="136"/>
      <c r="B207" s="136"/>
    </row>
    <row r="208">
      <c r="A208" s="136"/>
      <c r="B208" s="136"/>
    </row>
    <row r="209">
      <c r="A209" s="136"/>
      <c r="B209" s="136"/>
    </row>
    <row r="210">
      <c r="A210" s="136"/>
      <c r="B210" s="136"/>
    </row>
    <row r="211">
      <c r="A211" s="136"/>
      <c r="B211" s="136"/>
    </row>
    <row r="212">
      <c r="A212" s="136"/>
      <c r="B212" s="136"/>
    </row>
    <row r="213">
      <c r="A213" s="136"/>
      <c r="B213" s="136"/>
    </row>
    <row r="214">
      <c r="A214" s="136"/>
      <c r="B214" s="136"/>
    </row>
    <row r="215">
      <c r="A215" s="136"/>
      <c r="B215" s="136"/>
    </row>
    <row r="216">
      <c r="A216" s="136"/>
      <c r="B216" s="136"/>
    </row>
    <row r="217">
      <c r="A217" s="136"/>
      <c r="B217" s="136"/>
    </row>
    <row r="218">
      <c r="A218" s="136"/>
      <c r="B218" s="136"/>
    </row>
    <row r="219">
      <c r="A219" s="136"/>
      <c r="B219" s="136"/>
    </row>
    <row r="220">
      <c r="A220" s="136"/>
      <c r="B220" s="136"/>
    </row>
    <row r="221">
      <c r="A221" s="136"/>
      <c r="B221" s="136"/>
    </row>
    <row r="222">
      <c r="A222" s="136"/>
      <c r="B222" s="136"/>
    </row>
    <row r="223">
      <c r="A223" s="136"/>
      <c r="B223" s="136"/>
    </row>
    <row r="224">
      <c r="A224" s="136"/>
      <c r="B224" s="136"/>
    </row>
    <row r="225">
      <c r="A225" s="136"/>
      <c r="B225" s="136"/>
    </row>
    <row r="226">
      <c r="A226" s="136"/>
      <c r="B226" s="136"/>
    </row>
    <row r="227">
      <c r="A227" s="136"/>
      <c r="B227" s="136"/>
    </row>
    <row r="228">
      <c r="A228" s="136"/>
      <c r="B228" s="136"/>
    </row>
    <row r="229">
      <c r="A229" s="136"/>
      <c r="B229" s="136"/>
    </row>
    <row r="230">
      <c r="A230" s="136"/>
      <c r="B230" s="136"/>
    </row>
    <row r="231">
      <c r="A231" s="136"/>
      <c r="B231" s="136"/>
    </row>
    <row r="232">
      <c r="A232" s="136"/>
      <c r="B232" s="136"/>
    </row>
    <row r="233">
      <c r="A233" s="136"/>
      <c r="B233" s="136"/>
    </row>
    <row r="234">
      <c r="A234" s="136"/>
      <c r="B234" s="136"/>
    </row>
    <row r="235">
      <c r="A235" s="136"/>
      <c r="B235" s="136"/>
    </row>
    <row r="236">
      <c r="A236" s="136"/>
      <c r="B236" s="136"/>
    </row>
    <row r="237">
      <c r="A237" s="136"/>
      <c r="B237" s="136"/>
    </row>
    <row r="238">
      <c r="A238" s="136"/>
      <c r="B238" s="136"/>
    </row>
    <row r="239">
      <c r="A239" s="136"/>
      <c r="B239" s="136"/>
    </row>
    <row r="240">
      <c r="A240" s="136"/>
      <c r="B240" s="136"/>
    </row>
    <row r="241">
      <c r="A241" s="136"/>
      <c r="B241" s="136"/>
    </row>
    <row r="242">
      <c r="A242" s="136"/>
      <c r="B242" s="136"/>
    </row>
    <row r="243">
      <c r="A243" s="136"/>
      <c r="B243" s="136"/>
    </row>
    <row r="244">
      <c r="A244" s="136"/>
      <c r="B244" s="136"/>
    </row>
    <row r="245">
      <c r="A245" s="136"/>
      <c r="B245" s="136"/>
    </row>
    <row r="246">
      <c r="A246" s="136"/>
      <c r="B246" s="136"/>
    </row>
    <row r="247">
      <c r="A247" s="136"/>
      <c r="B247" s="136"/>
    </row>
    <row r="248">
      <c r="A248" s="136"/>
      <c r="B248" s="136"/>
    </row>
    <row r="249">
      <c r="A249" s="136"/>
      <c r="B249" s="136"/>
    </row>
    <row r="250">
      <c r="A250" s="136"/>
      <c r="B250" s="136"/>
    </row>
    <row r="251">
      <c r="A251" s="136"/>
      <c r="B251" s="136"/>
    </row>
    <row r="252">
      <c r="A252" s="136"/>
      <c r="B252" s="136"/>
    </row>
    <row r="253">
      <c r="A253" s="136"/>
      <c r="B253" s="136"/>
    </row>
    <row r="254">
      <c r="A254" s="136"/>
      <c r="B254" s="136"/>
    </row>
    <row r="255">
      <c r="A255" s="136"/>
      <c r="B255" s="136"/>
    </row>
    <row r="256">
      <c r="A256" s="136"/>
      <c r="B256" s="136"/>
    </row>
    <row r="257">
      <c r="A257" s="136"/>
      <c r="B257" s="136"/>
    </row>
    <row r="258">
      <c r="A258" s="136"/>
      <c r="B258" s="136"/>
    </row>
    <row r="259">
      <c r="A259" s="136"/>
      <c r="B259" s="136"/>
    </row>
    <row r="260">
      <c r="A260" s="136"/>
      <c r="B260" s="136"/>
    </row>
    <row r="261">
      <c r="A261" s="136"/>
      <c r="B261" s="136"/>
    </row>
    <row r="262">
      <c r="A262" s="136"/>
      <c r="B262" s="136"/>
    </row>
    <row r="263">
      <c r="A263" s="136"/>
      <c r="B263" s="136"/>
    </row>
    <row r="264">
      <c r="A264" s="136"/>
      <c r="B264" s="136"/>
    </row>
    <row r="265">
      <c r="A265" s="136"/>
      <c r="B265" s="136"/>
    </row>
    <row r="266">
      <c r="A266" s="136"/>
      <c r="B266" s="136"/>
    </row>
    <row r="267">
      <c r="A267" s="136"/>
      <c r="B267" s="136"/>
    </row>
    <row r="268">
      <c r="A268" s="136"/>
      <c r="B268" s="136"/>
    </row>
    <row r="269">
      <c r="A269" s="136"/>
      <c r="B269" s="136"/>
    </row>
    <row r="270">
      <c r="A270" s="136"/>
      <c r="B270" s="136"/>
    </row>
    <row r="271">
      <c r="A271" s="136"/>
      <c r="B271" s="136"/>
    </row>
    <row r="272">
      <c r="A272" s="136"/>
      <c r="B272" s="136"/>
    </row>
    <row r="273">
      <c r="A273" s="136"/>
      <c r="B273" s="136"/>
    </row>
    <row r="274">
      <c r="A274" s="136"/>
      <c r="B274" s="136"/>
    </row>
    <row r="275">
      <c r="A275" s="136"/>
      <c r="B275" s="136"/>
    </row>
    <row r="276">
      <c r="A276" s="136"/>
      <c r="B276" s="136"/>
    </row>
    <row r="277">
      <c r="A277" s="136"/>
      <c r="B277" s="136"/>
    </row>
    <row r="278">
      <c r="A278" s="136"/>
      <c r="B278" s="136"/>
    </row>
    <row r="279">
      <c r="A279" s="136"/>
      <c r="B279" s="136"/>
    </row>
    <row r="280">
      <c r="A280" s="136"/>
      <c r="B280" s="136"/>
    </row>
    <row r="281">
      <c r="A281" s="136"/>
      <c r="B281" s="136"/>
    </row>
    <row r="282">
      <c r="A282" s="136"/>
      <c r="B282" s="136"/>
    </row>
    <row r="283">
      <c r="A283" s="136"/>
      <c r="B283" s="136"/>
    </row>
    <row r="284">
      <c r="A284" s="136"/>
      <c r="B284" s="136"/>
    </row>
    <row r="285">
      <c r="A285" s="136"/>
      <c r="B285" s="136"/>
    </row>
    <row r="286">
      <c r="A286" s="136"/>
      <c r="B286" s="136"/>
    </row>
    <row r="287">
      <c r="A287" s="136"/>
      <c r="B287" s="136"/>
    </row>
    <row r="288">
      <c r="A288" s="136"/>
      <c r="B288" s="136"/>
    </row>
    <row r="289">
      <c r="A289" s="136"/>
      <c r="B289" s="136"/>
    </row>
    <row r="290">
      <c r="A290" s="136"/>
      <c r="B290" s="136"/>
    </row>
    <row r="291">
      <c r="A291" s="136"/>
      <c r="B291" s="136"/>
    </row>
    <row r="292">
      <c r="A292" s="136"/>
      <c r="B292" s="136"/>
    </row>
    <row r="293">
      <c r="A293" s="136"/>
      <c r="B293" s="136"/>
    </row>
    <row r="294">
      <c r="A294" s="136"/>
      <c r="B294" s="136"/>
    </row>
    <row r="295">
      <c r="A295" s="136"/>
      <c r="B295" s="136"/>
    </row>
    <row r="296">
      <c r="A296" s="136"/>
      <c r="B296" s="136"/>
    </row>
    <row r="297">
      <c r="A297" s="136"/>
      <c r="B297" s="136"/>
    </row>
    <row r="298">
      <c r="A298" s="136"/>
      <c r="B298" s="136"/>
    </row>
    <row r="299">
      <c r="A299" s="136"/>
      <c r="B299" s="136"/>
    </row>
    <row r="300">
      <c r="A300" s="136"/>
      <c r="B300" s="136"/>
    </row>
    <row r="301">
      <c r="A301" s="136"/>
      <c r="B301" s="136"/>
    </row>
    <row r="302">
      <c r="A302" s="136"/>
      <c r="B302" s="136"/>
    </row>
    <row r="303">
      <c r="A303" s="136"/>
      <c r="B303" s="136"/>
    </row>
    <row r="304">
      <c r="A304" s="136"/>
      <c r="B304" s="136"/>
    </row>
    <row r="305">
      <c r="A305" s="136"/>
      <c r="B305" s="136"/>
    </row>
    <row r="306">
      <c r="A306" s="136"/>
      <c r="B306" s="136"/>
    </row>
    <row r="307">
      <c r="A307" s="136"/>
      <c r="B307" s="136"/>
    </row>
    <row r="308">
      <c r="A308" s="136"/>
      <c r="B308" s="136"/>
    </row>
    <row r="309">
      <c r="A309" s="136"/>
      <c r="B309" s="136"/>
    </row>
    <row r="310">
      <c r="A310" s="136"/>
      <c r="B310" s="136"/>
    </row>
    <row r="311">
      <c r="A311" s="136"/>
      <c r="B311" s="136"/>
    </row>
    <row r="312">
      <c r="A312" s="136"/>
      <c r="B312" s="136"/>
    </row>
    <row r="313">
      <c r="A313" s="136"/>
      <c r="B313" s="136"/>
    </row>
    <row r="314">
      <c r="A314" s="136"/>
      <c r="B314" s="136"/>
    </row>
    <row r="315">
      <c r="A315" s="136"/>
      <c r="B315" s="136"/>
    </row>
    <row r="316">
      <c r="A316" s="136"/>
      <c r="B316" s="136"/>
    </row>
    <row r="317">
      <c r="A317" s="136"/>
      <c r="B317" s="136"/>
    </row>
    <row r="318">
      <c r="A318" s="136"/>
      <c r="B318" s="136"/>
    </row>
    <row r="319">
      <c r="A319" s="136"/>
      <c r="B319" s="136"/>
    </row>
    <row r="320">
      <c r="A320" s="136"/>
      <c r="B320" s="136"/>
    </row>
    <row r="321">
      <c r="A321" s="136"/>
      <c r="B321" s="136"/>
    </row>
    <row r="322">
      <c r="A322" s="136"/>
      <c r="B322" s="136"/>
    </row>
    <row r="323">
      <c r="A323" s="136"/>
      <c r="B323" s="136"/>
    </row>
    <row r="324">
      <c r="A324" s="136"/>
      <c r="B324" s="136"/>
    </row>
    <row r="325">
      <c r="A325" s="136"/>
      <c r="B325" s="136"/>
    </row>
    <row r="326">
      <c r="A326" s="136"/>
      <c r="B326" s="136"/>
    </row>
    <row r="327">
      <c r="A327" s="136"/>
      <c r="B327" s="136"/>
    </row>
    <row r="328">
      <c r="A328" s="136"/>
      <c r="B328" s="136"/>
    </row>
    <row r="329">
      <c r="A329" s="136"/>
      <c r="B329" s="136"/>
    </row>
    <row r="330">
      <c r="A330" s="136"/>
      <c r="B330" s="136"/>
    </row>
    <row r="331">
      <c r="A331" s="136"/>
      <c r="B331" s="136"/>
    </row>
    <row r="332">
      <c r="A332" s="136"/>
      <c r="B332" s="136"/>
    </row>
    <row r="333">
      <c r="A333" s="136"/>
      <c r="B333" s="136"/>
    </row>
    <row r="334">
      <c r="A334" s="136"/>
      <c r="B334" s="136"/>
    </row>
    <row r="335">
      <c r="A335" s="136"/>
      <c r="B335" s="136"/>
    </row>
    <row r="336">
      <c r="A336" s="136"/>
      <c r="B336" s="136"/>
    </row>
    <row r="337">
      <c r="A337" s="136"/>
      <c r="B337" s="136"/>
    </row>
    <row r="338">
      <c r="A338" s="136"/>
      <c r="B338" s="136"/>
    </row>
    <row r="339">
      <c r="A339" s="136"/>
      <c r="B339" s="136"/>
    </row>
    <row r="340">
      <c r="A340" s="136"/>
      <c r="B340" s="136"/>
    </row>
    <row r="341">
      <c r="A341" s="136"/>
      <c r="B341" s="136"/>
    </row>
    <row r="342">
      <c r="A342" s="136"/>
      <c r="B342" s="136"/>
    </row>
    <row r="343">
      <c r="A343" s="136"/>
      <c r="B343" s="136"/>
    </row>
    <row r="344">
      <c r="A344" s="136"/>
      <c r="B344" s="136"/>
    </row>
    <row r="345">
      <c r="A345" s="136"/>
      <c r="B345" s="136"/>
    </row>
    <row r="346">
      <c r="A346" s="136"/>
      <c r="B346" s="136"/>
    </row>
    <row r="347">
      <c r="A347" s="136"/>
      <c r="B347" s="136"/>
    </row>
    <row r="348">
      <c r="A348" s="136"/>
      <c r="B348" s="136"/>
    </row>
    <row r="349">
      <c r="A349" s="136"/>
      <c r="B349" s="136"/>
    </row>
    <row r="350">
      <c r="A350" s="136"/>
      <c r="B350" s="136"/>
    </row>
    <row r="351">
      <c r="A351" s="136"/>
      <c r="B351" s="136"/>
    </row>
    <row r="352">
      <c r="A352" s="136"/>
      <c r="B352" s="136"/>
    </row>
    <row r="353">
      <c r="A353" s="136"/>
      <c r="B353" s="136"/>
    </row>
    <row r="354">
      <c r="A354" s="136"/>
      <c r="B354" s="136"/>
    </row>
    <row r="355">
      <c r="A355" s="136"/>
      <c r="B355" s="136"/>
    </row>
    <row r="356">
      <c r="A356" s="136"/>
      <c r="B356" s="136"/>
    </row>
    <row r="357">
      <c r="A357" s="136"/>
      <c r="B357" s="136"/>
    </row>
    <row r="358">
      <c r="A358" s="136"/>
      <c r="B358" s="136"/>
    </row>
    <row r="359">
      <c r="A359" s="136"/>
      <c r="B359" s="136"/>
    </row>
    <row r="360">
      <c r="A360" s="136"/>
      <c r="B360" s="136"/>
    </row>
    <row r="361">
      <c r="A361" s="136"/>
      <c r="B361" s="136"/>
    </row>
    <row r="362">
      <c r="A362" s="136"/>
      <c r="B362" s="136"/>
    </row>
    <row r="363">
      <c r="A363" s="136"/>
      <c r="B363" s="136"/>
    </row>
    <row r="364">
      <c r="A364" s="136"/>
      <c r="B364" s="136"/>
    </row>
    <row r="365">
      <c r="A365" s="136"/>
      <c r="B365" s="136"/>
    </row>
    <row r="366">
      <c r="A366" s="136"/>
      <c r="B366" s="136"/>
    </row>
    <row r="367">
      <c r="A367" s="136"/>
      <c r="B367" s="136"/>
    </row>
    <row r="368">
      <c r="A368" s="136"/>
      <c r="B368" s="136"/>
    </row>
    <row r="369">
      <c r="A369" s="136"/>
      <c r="B369" s="136"/>
    </row>
    <row r="370">
      <c r="A370" s="136"/>
      <c r="B370" s="136"/>
    </row>
    <row r="371">
      <c r="A371" s="136"/>
      <c r="B371" s="136"/>
    </row>
    <row r="372">
      <c r="A372" s="136"/>
      <c r="B372" s="136"/>
    </row>
    <row r="373">
      <c r="A373" s="136"/>
      <c r="B373" s="136"/>
    </row>
    <row r="374">
      <c r="A374" s="136"/>
      <c r="B374" s="136"/>
    </row>
    <row r="375">
      <c r="A375" s="136"/>
      <c r="B375" s="136"/>
    </row>
    <row r="376">
      <c r="A376" s="136"/>
      <c r="B376" s="136"/>
    </row>
    <row r="377">
      <c r="A377" s="136"/>
      <c r="B377" s="136"/>
    </row>
    <row r="378">
      <c r="A378" s="136"/>
      <c r="B378" s="136"/>
    </row>
    <row r="379">
      <c r="A379" s="136"/>
      <c r="B379" s="136"/>
    </row>
    <row r="380">
      <c r="A380" s="136"/>
      <c r="B380" s="136"/>
    </row>
    <row r="381">
      <c r="A381" s="136"/>
      <c r="B381" s="136"/>
    </row>
    <row r="382">
      <c r="A382" s="136"/>
      <c r="B382" s="136"/>
    </row>
    <row r="383">
      <c r="A383" s="136"/>
      <c r="B383" s="136"/>
    </row>
    <row r="384">
      <c r="A384" s="136"/>
      <c r="B384" s="136"/>
    </row>
    <row r="385">
      <c r="A385" s="136"/>
      <c r="B385" s="136"/>
    </row>
    <row r="386">
      <c r="A386" s="136"/>
      <c r="B386" s="136"/>
    </row>
    <row r="387">
      <c r="A387" s="136"/>
      <c r="B387" s="136"/>
    </row>
    <row r="388">
      <c r="A388" s="136"/>
      <c r="B388" s="136"/>
    </row>
    <row r="389">
      <c r="A389" s="136"/>
      <c r="B389" s="136"/>
    </row>
    <row r="390">
      <c r="A390" s="136"/>
      <c r="B390" s="136"/>
    </row>
    <row r="391">
      <c r="A391" s="136"/>
      <c r="B391" s="136"/>
    </row>
    <row r="392">
      <c r="A392" s="136"/>
      <c r="B392" s="136"/>
    </row>
    <row r="393">
      <c r="A393" s="136"/>
      <c r="B393" s="136"/>
    </row>
    <row r="394">
      <c r="A394" s="136"/>
      <c r="B394" s="136"/>
    </row>
    <row r="395">
      <c r="A395" s="136"/>
      <c r="B395" s="136"/>
    </row>
    <row r="396">
      <c r="A396" s="136"/>
      <c r="B396" s="136"/>
    </row>
    <row r="397">
      <c r="A397" s="136"/>
      <c r="B397" s="136"/>
    </row>
    <row r="398">
      <c r="A398" s="136"/>
      <c r="B398" s="136"/>
    </row>
    <row r="399">
      <c r="A399" s="136"/>
      <c r="B399" s="136"/>
    </row>
    <row r="400">
      <c r="A400" s="136"/>
      <c r="B400" s="136"/>
    </row>
    <row r="401">
      <c r="A401" s="136"/>
      <c r="B401" s="136"/>
    </row>
    <row r="402">
      <c r="A402" s="136"/>
      <c r="B402" s="136"/>
    </row>
    <row r="403">
      <c r="A403" s="136"/>
      <c r="B403" s="136"/>
    </row>
    <row r="404">
      <c r="A404" s="136"/>
      <c r="B404" s="136"/>
    </row>
    <row r="405">
      <c r="A405" s="136"/>
      <c r="B405" s="136"/>
    </row>
    <row r="406">
      <c r="A406" s="136"/>
      <c r="B406" s="136"/>
    </row>
    <row r="407">
      <c r="A407" s="136"/>
      <c r="B407" s="136"/>
    </row>
    <row r="408">
      <c r="A408" s="136"/>
      <c r="B408" s="136"/>
    </row>
    <row r="409">
      <c r="A409" s="136"/>
      <c r="B409" s="136"/>
    </row>
    <row r="410">
      <c r="A410" s="136"/>
      <c r="B410" s="136"/>
    </row>
    <row r="411">
      <c r="A411" s="136"/>
      <c r="B411" s="136"/>
    </row>
    <row r="412">
      <c r="A412" s="136"/>
      <c r="B412" s="136"/>
    </row>
    <row r="413">
      <c r="A413" s="136"/>
      <c r="B413" s="136"/>
    </row>
    <row r="414">
      <c r="A414" s="136"/>
      <c r="B414" s="136"/>
    </row>
    <row r="415">
      <c r="A415" s="136"/>
      <c r="B415" s="136"/>
    </row>
    <row r="416">
      <c r="A416" s="136"/>
      <c r="B416" s="136"/>
    </row>
    <row r="417">
      <c r="A417" s="136"/>
      <c r="B417" s="136"/>
    </row>
    <row r="418">
      <c r="A418" s="136"/>
      <c r="B418" s="136"/>
    </row>
    <row r="419">
      <c r="A419" s="136"/>
      <c r="B419" s="136"/>
    </row>
    <row r="420">
      <c r="A420" s="136"/>
      <c r="B420" s="136"/>
    </row>
    <row r="421">
      <c r="A421" s="136"/>
      <c r="B421" s="136"/>
    </row>
    <row r="422">
      <c r="A422" s="136"/>
      <c r="B422" s="136"/>
    </row>
    <row r="423">
      <c r="A423" s="136"/>
      <c r="B423" s="136"/>
    </row>
    <row r="424">
      <c r="A424" s="136"/>
      <c r="B424" s="136"/>
    </row>
    <row r="425">
      <c r="A425" s="136"/>
      <c r="B425" s="136"/>
    </row>
    <row r="426">
      <c r="A426" s="136"/>
      <c r="B426" s="136"/>
    </row>
    <row r="427">
      <c r="A427" s="136"/>
      <c r="B427" s="136"/>
    </row>
    <row r="428">
      <c r="A428" s="136"/>
      <c r="B428" s="136"/>
    </row>
    <row r="429">
      <c r="A429" s="136"/>
      <c r="B429" s="136"/>
    </row>
    <row r="430">
      <c r="A430" s="136"/>
      <c r="B430" s="136"/>
    </row>
    <row r="431">
      <c r="A431" s="136"/>
      <c r="B431" s="136"/>
    </row>
    <row r="432">
      <c r="A432" s="136"/>
      <c r="B432" s="136"/>
    </row>
    <row r="433">
      <c r="A433" s="136"/>
      <c r="B433" s="136"/>
    </row>
    <row r="434">
      <c r="A434" s="136"/>
      <c r="B434" s="136"/>
    </row>
    <row r="435">
      <c r="A435" s="136"/>
      <c r="B435" s="136"/>
    </row>
    <row r="436">
      <c r="A436" s="136"/>
      <c r="B436" s="136"/>
    </row>
    <row r="437">
      <c r="A437" s="136"/>
      <c r="B437" s="136"/>
    </row>
    <row r="438">
      <c r="A438" s="136"/>
      <c r="B438" s="136"/>
    </row>
    <row r="439">
      <c r="A439" s="136"/>
      <c r="B439" s="136"/>
    </row>
    <row r="440">
      <c r="A440" s="136"/>
      <c r="B440" s="136"/>
    </row>
    <row r="441">
      <c r="A441" s="136"/>
      <c r="B441" s="136"/>
    </row>
    <row r="442">
      <c r="A442" s="136"/>
      <c r="B442" s="136"/>
    </row>
    <row r="443">
      <c r="A443" s="136"/>
      <c r="B443" s="136"/>
    </row>
    <row r="444">
      <c r="A444" s="136"/>
      <c r="B444" s="136"/>
    </row>
    <row r="445">
      <c r="A445" s="136"/>
      <c r="B445" s="136"/>
    </row>
    <row r="446">
      <c r="A446" s="136"/>
      <c r="B446" s="136"/>
    </row>
    <row r="447">
      <c r="A447" s="136"/>
      <c r="B447" s="136"/>
    </row>
    <row r="448">
      <c r="A448" s="136"/>
      <c r="B448" s="136"/>
    </row>
    <row r="449">
      <c r="A449" s="136"/>
      <c r="B449" s="136"/>
    </row>
    <row r="450">
      <c r="A450" s="136"/>
      <c r="B450" s="136"/>
    </row>
    <row r="451">
      <c r="A451" s="136"/>
      <c r="B451" s="136"/>
    </row>
    <row r="452">
      <c r="A452" s="136"/>
      <c r="B452" s="136"/>
    </row>
    <row r="453">
      <c r="A453" s="136"/>
      <c r="B453" s="136"/>
    </row>
    <row r="454">
      <c r="A454" s="136"/>
      <c r="B454" s="136"/>
    </row>
    <row r="455">
      <c r="A455" s="136"/>
      <c r="B455" s="136"/>
    </row>
    <row r="456">
      <c r="A456" s="136"/>
      <c r="B456" s="136"/>
    </row>
    <row r="457">
      <c r="A457" s="136"/>
      <c r="B457" s="136"/>
    </row>
    <row r="458">
      <c r="A458" s="136"/>
      <c r="B458" s="136"/>
    </row>
    <row r="459">
      <c r="A459" s="136"/>
      <c r="B459" s="136"/>
    </row>
    <row r="460">
      <c r="A460" s="136"/>
      <c r="B460" s="136"/>
    </row>
    <row r="461">
      <c r="A461" s="136"/>
      <c r="B461" s="136"/>
    </row>
    <row r="462">
      <c r="A462" s="136"/>
      <c r="B462" s="136"/>
    </row>
    <row r="463">
      <c r="A463" s="136"/>
      <c r="B463" s="136"/>
    </row>
    <row r="464">
      <c r="A464" s="136"/>
      <c r="B464" s="136"/>
    </row>
    <row r="465">
      <c r="A465" s="136"/>
      <c r="B465" s="136"/>
    </row>
    <row r="466">
      <c r="A466" s="136"/>
      <c r="B466" s="136"/>
    </row>
    <row r="467">
      <c r="A467" s="136"/>
      <c r="B467" s="136"/>
    </row>
    <row r="468">
      <c r="A468" s="136"/>
      <c r="B468" s="136"/>
    </row>
    <row r="469">
      <c r="A469" s="136"/>
      <c r="B469" s="136"/>
    </row>
    <row r="470">
      <c r="A470" s="136"/>
      <c r="B470" s="136"/>
    </row>
    <row r="471">
      <c r="A471" s="136"/>
      <c r="B471" s="136"/>
    </row>
    <row r="472">
      <c r="A472" s="136"/>
      <c r="B472" s="136"/>
    </row>
    <row r="473">
      <c r="A473" s="136"/>
      <c r="B473" s="136"/>
    </row>
    <row r="474">
      <c r="A474" s="136"/>
      <c r="B474" s="136"/>
    </row>
    <row r="475">
      <c r="A475" s="136"/>
      <c r="B475" s="136"/>
    </row>
    <row r="476">
      <c r="A476" s="136"/>
      <c r="B476" s="136"/>
    </row>
    <row r="477">
      <c r="A477" s="136"/>
      <c r="B477" s="136"/>
    </row>
    <row r="478">
      <c r="A478" s="136"/>
      <c r="B478" s="136"/>
    </row>
    <row r="479">
      <c r="A479" s="136"/>
      <c r="B479" s="136"/>
    </row>
    <row r="480">
      <c r="A480" s="136"/>
      <c r="B480" s="136"/>
    </row>
    <row r="481">
      <c r="A481" s="136"/>
      <c r="B481" s="136"/>
    </row>
    <row r="482">
      <c r="A482" s="136"/>
      <c r="B482" s="136"/>
    </row>
    <row r="483">
      <c r="A483" s="136"/>
      <c r="B483" s="136"/>
    </row>
    <row r="484">
      <c r="A484" s="136"/>
      <c r="B484" s="136"/>
    </row>
    <row r="485">
      <c r="A485" s="136"/>
      <c r="B485" s="136"/>
    </row>
    <row r="486">
      <c r="A486" s="136"/>
      <c r="B486" s="136"/>
    </row>
    <row r="487">
      <c r="A487" s="136"/>
      <c r="B487" s="136"/>
    </row>
    <row r="488">
      <c r="A488" s="136"/>
      <c r="B488" s="136"/>
    </row>
    <row r="489">
      <c r="A489" s="136"/>
      <c r="B489" s="136"/>
    </row>
    <row r="490">
      <c r="A490" s="136"/>
      <c r="B490" s="136"/>
    </row>
    <row r="491">
      <c r="A491" s="136"/>
      <c r="B491" s="136"/>
    </row>
    <row r="492">
      <c r="A492" s="136"/>
      <c r="B492" s="136"/>
    </row>
    <row r="493">
      <c r="A493" s="136"/>
      <c r="B493" s="136"/>
    </row>
    <row r="494">
      <c r="A494" s="136"/>
      <c r="B494" s="136"/>
    </row>
    <row r="495">
      <c r="A495" s="136"/>
      <c r="B495" s="136"/>
    </row>
    <row r="496">
      <c r="A496" s="136"/>
      <c r="B496" s="136"/>
    </row>
    <row r="497">
      <c r="A497" s="136"/>
      <c r="B497" s="136"/>
    </row>
    <row r="498">
      <c r="A498" s="136"/>
      <c r="B498" s="136"/>
    </row>
    <row r="499">
      <c r="A499" s="136"/>
      <c r="B499" s="136"/>
    </row>
    <row r="500">
      <c r="A500" s="136"/>
      <c r="B500" s="136"/>
    </row>
    <row r="501">
      <c r="A501" s="136"/>
      <c r="B501" s="136"/>
    </row>
    <row r="502">
      <c r="A502" s="136"/>
      <c r="B502" s="136"/>
    </row>
    <row r="503">
      <c r="A503" s="136"/>
      <c r="B503" s="136"/>
    </row>
    <row r="504">
      <c r="A504" s="136"/>
      <c r="B504" s="136"/>
    </row>
    <row r="505">
      <c r="A505" s="136"/>
      <c r="B505" s="136"/>
    </row>
    <row r="506">
      <c r="A506" s="136"/>
      <c r="B506" s="136"/>
    </row>
    <row r="507">
      <c r="A507" s="136"/>
      <c r="B507" s="136"/>
    </row>
    <row r="508">
      <c r="A508" s="136"/>
      <c r="B508" s="136"/>
    </row>
    <row r="509">
      <c r="A509" s="136"/>
      <c r="B509" s="136"/>
    </row>
    <row r="510">
      <c r="A510" s="136"/>
      <c r="B510" s="136"/>
    </row>
    <row r="511">
      <c r="A511" s="136"/>
      <c r="B511" s="136"/>
    </row>
    <row r="512">
      <c r="A512" s="136"/>
      <c r="B512" s="136"/>
    </row>
    <row r="513">
      <c r="A513" s="136"/>
      <c r="B513" s="136"/>
    </row>
    <row r="514">
      <c r="A514" s="136"/>
      <c r="B514" s="136"/>
    </row>
    <row r="515">
      <c r="A515" s="136"/>
      <c r="B515" s="136"/>
    </row>
    <row r="516">
      <c r="A516" s="136"/>
      <c r="B516" s="136"/>
    </row>
    <row r="517">
      <c r="A517" s="136"/>
      <c r="B517" s="136"/>
    </row>
    <row r="518">
      <c r="A518" s="136"/>
      <c r="B518" s="136"/>
    </row>
    <row r="519">
      <c r="A519" s="136"/>
      <c r="B519" s="136"/>
    </row>
    <row r="520">
      <c r="A520" s="136"/>
      <c r="B520" s="136"/>
    </row>
    <row r="521">
      <c r="A521" s="136"/>
      <c r="B521" s="136"/>
    </row>
    <row r="522">
      <c r="A522" s="136"/>
      <c r="B522" s="136"/>
    </row>
    <row r="523">
      <c r="A523" s="136"/>
      <c r="B523" s="136"/>
    </row>
    <row r="524">
      <c r="A524" s="136"/>
      <c r="B524" s="136"/>
    </row>
    <row r="525">
      <c r="A525" s="136"/>
      <c r="B525" s="136"/>
    </row>
    <row r="526">
      <c r="A526" s="136"/>
      <c r="B526" s="136"/>
    </row>
    <row r="527">
      <c r="A527" s="136"/>
      <c r="B527" s="136"/>
    </row>
    <row r="528">
      <c r="A528" s="136"/>
      <c r="B528" s="136"/>
    </row>
    <row r="529">
      <c r="A529" s="136"/>
      <c r="B529" s="136"/>
    </row>
    <row r="530">
      <c r="A530" s="136"/>
      <c r="B530" s="136"/>
    </row>
    <row r="531">
      <c r="A531" s="136"/>
      <c r="B531" s="136"/>
    </row>
    <row r="532">
      <c r="A532" s="136"/>
      <c r="B532" s="136"/>
    </row>
    <row r="533">
      <c r="A533" s="136"/>
      <c r="B533" s="136"/>
    </row>
    <row r="534">
      <c r="A534" s="136"/>
      <c r="B534" s="136"/>
    </row>
    <row r="535">
      <c r="A535" s="136"/>
      <c r="B535" s="136"/>
    </row>
    <row r="536">
      <c r="A536" s="136"/>
      <c r="B536" s="136"/>
    </row>
    <row r="537">
      <c r="A537" s="136"/>
      <c r="B537" s="136"/>
    </row>
    <row r="538">
      <c r="A538" s="136"/>
      <c r="B538" s="136"/>
    </row>
    <row r="539">
      <c r="A539" s="136"/>
      <c r="B539" s="136"/>
    </row>
    <row r="540">
      <c r="A540" s="136"/>
      <c r="B540" s="136"/>
    </row>
    <row r="541">
      <c r="A541" s="136"/>
      <c r="B541" s="136"/>
    </row>
    <row r="542">
      <c r="A542" s="136"/>
      <c r="B542" s="136"/>
    </row>
    <row r="543">
      <c r="A543" s="136"/>
      <c r="B543" s="136"/>
    </row>
    <row r="544">
      <c r="A544" s="136"/>
      <c r="B544" s="136"/>
    </row>
    <row r="545">
      <c r="A545" s="136"/>
      <c r="B545" s="136"/>
    </row>
    <row r="546">
      <c r="A546" s="136"/>
      <c r="B546" s="136"/>
    </row>
    <row r="547">
      <c r="A547" s="136"/>
      <c r="B547" s="136"/>
    </row>
    <row r="548">
      <c r="A548" s="136"/>
      <c r="B548" s="136"/>
    </row>
    <row r="549">
      <c r="A549" s="136"/>
      <c r="B549" s="136"/>
    </row>
    <row r="550">
      <c r="A550" s="136"/>
      <c r="B550" s="136"/>
    </row>
    <row r="551">
      <c r="A551" s="136"/>
      <c r="B551" s="136"/>
    </row>
    <row r="552">
      <c r="A552" s="136"/>
      <c r="B552" s="136"/>
    </row>
    <row r="553">
      <c r="A553" s="136"/>
      <c r="B553" s="136"/>
    </row>
    <row r="554">
      <c r="A554" s="136"/>
      <c r="B554" s="136"/>
    </row>
    <row r="555">
      <c r="A555" s="136"/>
      <c r="B555" s="136"/>
    </row>
    <row r="556">
      <c r="A556" s="136"/>
      <c r="B556" s="136"/>
    </row>
    <row r="557">
      <c r="A557" s="136"/>
      <c r="B557" s="136"/>
    </row>
    <row r="558">
      <c r="A558" s="136"/>
      <c r="B558" s="136"/>
    </row>
    <row r="559">
      <c r="A559" s="136"/>
      <c r="B559" s="136"/>
    </row>
    <row r="560">
      <c r="A560" s="136"/>
      <c r="B560" s="136"/>
    </row>
    <row r="561">
      <c r="A561" s="136"/>
      <c r="B561" s="136"/>
    </row>
    <row r="562">
      <c r="A562" s="136"/>
      <c r="B562" s="136"/>
    </row>
    <row r="563">
      <c r="A563" s="136"/>
      <c r="B563" s="136"/>
    </row>
    <row r="564">
      <c r="A564" s="136"/>
      <c r="B564" s="136"/>
    </row>
    <row r="565">
      <c r="A565" s="136"/>
      <c r="B565" s="136"/>
    </row>
    <row r="566">
      <c r="A566" s="136"/>
      <c r="B566" s="136"/>
    </row>
    <row r="567">
      <c r="A567" s="136"/>
      <c r="B567" s="136"/>
    </row>
    <row r="568">
      <c r="A568" s="136"/>
      <c r="B568" s="136"/>
    </row>
    <row r="569">
      <c r="A569" s="136"/>
      <c r="B569" s="136"/>
    </row>
    <row r="570">
      <c r="A570" s="136"/>
      <c r="B570" s="136"/>
    </row>
    <row r="571">
      <c r="A571" s="136"/>
      <c r="B571" s="136"/>
    </row>
    <row r="572">
      <c r="A572" s="136"/>
      <c r="B572" s="136"/>
    </row>
    <row r="573">
      <c r="A573" s="136"/>
      <c r="B573" s="136"/>
    </row>
    <row r="574">
      <c r="A574" s="136"/>
      <c r="B574" s="136"/>
    </row>
    <row r="575">
      <c r="A575" s="136"/>
      <c r="B575" s="136"/>
    </row>
    <row r="576">
      <c r="A576" s="136"/>
      <c r="B576" s="136"/>
    </row>
    <row r="577">
      <c r="A577" s="136"/>
      <c r="B577" s="136"/>
    </row>
    <row r="578">
      <c r="A578" s="136"/>
      <c r="B578" s="136"/>
    </row>
    <row r="579">
      <c r="A579" s="136"/>
      <c r="B579" s="136"/>
    </row>
    <row r="580">
      <c r="A580" s="136"/>
      <c r="B580" s="136"/>
    </row>
    <row r="581">
      <c r="A581" s="136"/>
      <c r="B581" s="136"/>
    </row>
    <row r="582">
      <c r="A582" s="136"/>
      <c r="B582" s="136"/>
    </row>
    <row r="583">
      <c r="A583" s="136"/>
      <c r="B583" s="136"/>
    </row>
    <row r="584">
      <c r="A584" s="136"/>
      <c r="B584" s="136"/>
    </row>
    <row r="585">
      <c r="A585" s="136"/>
      <c r="B585" s="136"/>
    </row>
    <row r="586">
      <c r="A586" s="136"/>
      <c r="B586" s="136"/>
    </row>
    <row r="587">
      <c r="A587" s="136"/>
      <c r="B587" s="136"/>
    </row>
    <row r="588">
      <c r="A588" s="136"/>
      <c r="B588" s="136"/>
    </row>
    <row r="589">
      <c r="A589" s="136"/>
      <c r="B589" s="136"/>
    </row>
    <row r="590">
      <c r="A590" s="136"/>
      <c r="B590" s="136"/>
    </row>
    <row r="591">
      <c r="A591" s="136"/>
      <c r="B591" s="136"/>
    </row>
    <row r="592">
      <c r="A592" s="136"/>
      <c r="B592" s="136"/>
    </row>
    <row r="593">
      <c r="A593" s="136"/>
      <c r="B593" s="136"/>
    </row>
    <row r="594">
      <c r="A594" s="136"/>
      <c r="B594" s="136"/>
    </row>
    <row r="595">
      <c r="A595" s="136"/>
      <c r="B595" s="136"/>
    </row>
    <row r="596">
      <c r="A596" s="136"/>
      <c r="B596" s="136"/>
    </row>
    <row r="597">
      <c r="A597" s="136"/>
      <c r="B597" s="136"/>
    </row>
    <row r="598">
      <c r="A598" s="136"/>
      <c r="B598" s="136"/>
    </row>
    <row r="599">
      <c r="A599" s="136"/>
      <c r="B599" s="136"/>
    </row>
    <row r="600">
      <c r="A600" s="136"/>
      <c r="B600" s="136"/>
    </row>
    <row r="601">
      <c r="A601" s="136"/>
      <c r="B601" s="136"/>
    </row>
    <row r="602">
      <c r="A602" s="136"/>
      <c r="B602" s="136"/>
    </row>
    <row r="603">
      <c r="A603" s="136"/>
      <c r="B603" s="136"/>
    </row>
    <row r="604">
      <c r="A604" s="136"/>
      <c r="B604" s="136"/>
    </row>
    <row r="605">
      <c r="A605" s="136"/>
      <c r="B605" s="136"/>
    </row>
    <row r="606">
      <c r="A606" s="136"/>
      <c r="B606" s="136"/>
    </row>
    <row r="607">
      <c r="A607" s="136"/>
      <c r="B607" s="136"/>
    </row>
    <row r="608">
      <c r="A608" s="136"/>
      <c r="B608" s="136"/>
    </row>
    <row r="609">
      <c r="A609" s="136"/>
      <c r="B609" s="136"/>
    </row>
    <row r="610">
      <c r="A610" s="136"/>
      <c r="B610" s="136"/>
    </row>
    <row r="611">
      <c r="A611" s="136"/>
      <c r="B611" s="136"/>
    </row>
    <row r="612">
      <c r="A612" s="136"/>
      <c r="B612" s="136"/>
    </row>
    <row r="613">
      <c r="A613" s="136"/>
      <c r="B613" s="136"/>
    </row>
    <row r="614">
      <c r="A614" s="136"/>
      <c r="B614" s="136"/>
    </row>
    <row r="615">
      <c r="A615" s="136"/>
      <c r="B615" s="136"/>
    </row>
    <row r="616">
      <c r="A616" s="136"/>
      <c r="B616" s="136"/>
    </row>
    <row r="617">
      <c r="A617" s="136"/>
      <c r="B617" s="136"/>
    </row>
    <row r="618">
      <c r="A618" s="136"/>
      <c r="B618" s="136"/>
    </row>
    <row r="619">
      <c r="A619" s="136"/>
      <c r="B619" s="136"/>
    </row>
    <row r="620">
      <c r="A620" s="136"/>
      <c r="B620" s="136"/>
    </row>
    <row r="621">
      <c r="A621" s="136"/>
      <c r="B621" s="136"/>
    </row>
    <row r="622">
      <c r="A622" s="136"/>
      <c r="B622" s="136"/>
    </row>
    <row r="623">
      <c r="A623" s="136"/>
      <c r="B623" s="136"/>
    </row>
    <row r="624">
      <c r="A624" s="136"/>
      <c r="B624" s="136"/>
    </row>
    <row r="625">
      <c r="A625" s="136"/>
      <c r="B625" s="136"/>
    </row>
    <row r="626">
      <c r="A626" s="136"/>
      <c r="B626" s="136"/>
    </row>
    <row r="627">
      <c r="A627" s="136"/>
      <c r="B627" s="136"/>
    </row>
    <row r="628">
      <c r="A628" s="136"/>
      <c r="B628" s="136"/>
    </row>
    <row r="629">
      <c r="A629" s="136"/>
      <c r="B629" s="136"/>
    </row>
    <row r="630">
      <c r="A630" s="136"/>
      <c r="B630" s="136"/>
    </row>
    <row r="631">
      <c r="A631" s="136"/>
      <c r="B631" s="136"/>
    </row>
    <row r="632">
      <c r="A632" s="136"/>
      <c r="B632" s="136"/>
    </row>
    <row r="633">
      <c r="A633" s="136"/>
      <c r="B633" s="136"/>
    </row>
    <row r="634">
      <c r="A634" s="136"/>
      <c r="B634" s="136"/>
    </row>
    <row r="635">
      <c r="A635" s="136"/>
      <c r="B635" s="136"/>
    </row>
    <row r="636">
      <c r="A636" s="136"/>
      <c r="B636" s="136"/>
    </row>
    <row r="637">
      <c r="A637" s="136"/>
      <c r="B637" s="136"/>
    </row>
    <row r="638">
      <c r="A638" s="136"/>
      <c r="B638" s="136"/>
    </row>
    <row r="639">
      <c r="A639" s="136"/>
      <c r="B639" s="136"/>
    </row>
    <row r="640">
      <c r="A640" s="136"/>
      <c r="B640" s="136"/>
    </row>
    <row r="641">
      <c r="A641" s="136"/>
      <c r="B641" s="136"/>
    </row>
    <row r="642">
      <c r="A642" s="136"/>
      <c r="B642" s="136"/>
    </row>
    <row r="643">
      <c r="A643" s="136"/>
      <c r="B643" s="136"/>
    </row>
    <row r="644">
      <c r="A644" s="136"/>
      <c r="B644" s="136"/>
    </row>
    <row r="645">
      <c r="A645" s="136"/>
      <c r="B645" s="136"/>
    </row>
    <row r="646">
      <c r="A646" s="136"/>
      <c r="B646" s="136"/>
    </row>
    <row r="647">
      <c r="A647" s="136"/>
      <c r="B647" s="136"/>
    </row>
    <row r="648">
      <c r="A648" s="136"/>
      <c r="B648" s="136"/>
    </row>
    <row r="649">
      <c r="A649" s="136"/>
      <c r="B649" s="136"/>
    </row>
    <row r="650">
      <c r="A650" s="136"/>
      <c r="B650" s="136"/>
    </row>
    <row r="651">
      <c r="A651" s="136"/>
      <c r="B651" s="136"/>
    </row>
    <row r="652">
      <c r="A652" s="136"/>
      <c r="B652" s="136"/>
    </row>
    <row r="653">
      <c r="A653" s="136"/>
      <c r="B653" s="136"/>
    </row>
    <row r="654">
      <c r="A654" s="136"/>
      <c r="B654" s="136"/>
    </row>
    <row r="655">
      <c r="A655" s="136"/>
      <c r="B655" s="136"/>
    </row>
    <row r="656">
      <c r="A656" s="136"/>
      <c r="B656" s="136"/>
    </row>
    <row r="657">
      <c r="A657" s="136"/>
      <c r="B657" s="136"/>
    </row>
    <row r="658">
      <c r="A658" s="136"/>
      <c r="B658" s="136"/>
    </row>
    <row r="659">
      <c r="A659" s="136"/>
      <c r="B659" s="136"/>
    </row>
    <row r="660">
      <c r="A660" s="136"/>
      <c r="B660" s="136"/>
    </row>
    <row r="661">
      <c r="A661" s="136"/>
      <c r="B661" s="136"/>
    </row>
    <row r="662">
      <c r="A662" s="136"/>
      <c r="B662" s="136"/>
    </row>
    <row r="663">
      <c r="A663" s="136"/>
      <c r="B663" s="136"/>
    </row>
    <row r="664">
      <c r="A664" s="136"/>
      <c r="B664" s="136"/>
    </row>
    <row r="665">
      <c r="A665" s="136"/>
      <c r="B665" s="136"/>
    </row>
    <row r="666">
      <c r="A666" s="136"/>
      <c r="B666" s="136"/>
    </row>
    <row r="667">
      <c r="A667" s="136"/>
      <c r="B667" s="136"/>
    </row>
    <row r="668">
      <c r="A668" s="136"/>
      <c r="B668" s="136"/>
    </row>
    <row r="669">
      <c r="A669" s="136"/>
      <c r="B669" s="136"/>
    </row>
    <row r="670">
      <c r="A670" s="136"/>
      <c r="B670" s="136"/>
    </row>
    <row r="671">
      <c r="A671" s="136"/>
      <c r="B671" s="136"/>
    </row>
    <row r="672">
      <c r="A672" s="136"/>
      <c r="B672" s="136"/>
    </row>
    <row r="673">
      <c r="A673" s="136"/>
      <c r="B673" s="136"/>
    </row>
    <row r="674">
      <c r="A674" s="136"/>
      <c r="B674" s="136"/>
    </row>
    <row r="675">
      <c r="A675" s="136"/>
      <c r="B675" s="136"/>
    </row>
    <row r="676">
      <c r="A676" s="136"/>
      <c r="B676" s="136"/>
    </row>
    <row r="677">
      <c r="A677" s="136"/>
      <c r="B677" s="136"/>
    </row>
    <row r="678">
      <c r="A678" s="136"/>
      <c r="B678" s="136"/>
    </row>
    <row r="679">
      <c r="A679" s="136"/>
      <c r="B679" s="136"/>
    </row>
    <row r="680">
      <c r="A680" s="136"/>
      <c r="B680" s="136"/>
    </row>
    <row r="681">
      <c r="A681" s="136"/>
      <c r="B681" s="136"/>
    </row>
    <row r="682">
      <c r="A682" s="136"/>
      <c r="B682" s="136"/>
    </row>
    <row r="683">
      <c r="A683" s="136"/>
      <c r="B683" s="136"/>
    </row>
    <row r="684">
      <c r="A684" s="136"/>
      <c r="B684" s="136"/>
    </row>
    <row r="685">
      <c r="A685" s="136"/>
      <c r="B685" s="136"/>
    </row>
    <row r="686">
      <c r="A686" s="136"/>
      <c r="B686" s="136"/>
    </row>
    <row r="687">
      <c r="A687" s="136"/>
      <c r="B687" s="136"/>
    </row>
    <row r="688">
      <c r="A688" s="136"/>
      <c r="B688" s="136"/>
    </row>
    <row r="689">
      <c r="A689" s="136"/>
      <c r="B689" s="136"/>
    </row>
    <row r="690">
      <c r="A690" s="136"/>
      <c r="B690" s="136"/>
    </row>
    <row r="691">
      <c r="A691" s="136"/>
      <c r="B691" s="136"/>
    </row>
    <row r="692">
      <c r="A692" s="136"/>
      <c r="B692" s="136"/>
    </row>
    <row r="693">
      <c r="A693" s="136"/>
      <c r="B693" s="136"/>
    </row>
    <row r="694">
      <c r="A694" s="136"/>
      <c r="B694" s="136"/>
    </row>
    <row r="695">
      <c r="A695" s="136"/>
      <c r="B695" s="136"/>
    </row>
    <row r="696">
      <c r="A696" s="136"/>
      <c r="B696" s="136"/>
    </row>
    <row r="697">
      <c r="A697" s="136"/>
      <c r="B697" s="136"/>
    </row>
    <row r="698">
      <c r="A698" s="136"/>
      <c r="B698" s="136"/>
    </row>
    <row r="699">
      <c r="A699" s="136"/>
      <c r="B699" s="136"/>
    </row>
    <row r="700">
      <c r="A700" s="136"/>
      <c r="B700" s="136"/>
    </row>
    <row r="701">
      <c r="A701" s="136"/>
      <c r="B701" s="136"/>
    </row>
    <row r="702">
      <c r="A702" s="136"/>
      <c r="B702" s="136"/>
    </row>
    <row r="703">
      <c r="A703" s="136"/>
      <c r="B703" s="136"/>
    </row>
    <row r="704">
      <c r="A704" s="136"/>
      <c r="B704" s="136"/>
    </row>
    <row r="705">
      <c r="A705" s="136"/>
      <c r="B705" s="136"/>
    </row>
    <row r="706">
      <c r="A706" s="136"/>
      <c r="B706" s="136"/>
    </row>
    <row r="707">
      <c r="A707" s="136"/>
      <c r="B707" s="136"/>
    </row>
    <row r="708">
      <c r="A708" s="136"/>
      <c r="B708" s="136"/>
    </row>
    <row r="709">
      <c r="A709" s="136"/>
      <c r="B709" s="136"/>
    </row>
    <row r="710">
      <c r="A710" s="136"/>
      <c r="B710" s="136"/>
    </row>
    <row r="711">
      <c r="A711" s="136"/>
      <c r="B711" s="136"/>
    </row>
    <row r="712">
      <c r="A712" s="136"/>
      <c r="B712" s="136"/>
    </row>
    <row r="713">
      <c r="A713" s="136"/>
      <c r="B713" s="136"/>
    </row>
    <row r="714">
      <c r="A714" s="136"/>
      <c r="B714" s="136"/>
    </row>
    <row r="715">
      <c r="A715" s="136"/>
      <c r="B715" s="136"/>
    </row>
    <row r="716">
      <c r="A716" s="136"/>
      <c r="B716" s="136"/>
    </row>
    <row r="717">
      <c r="A717" s="136"/>
      <c r="B717" s="136"/>
    </row>
    <row r="718">
      <c r="A718" s="136"/>
      <c r="B718" s="136"/>
    </row>
    <row r="719">
      <c r="A719" s="136"/>
      <c r="B719" s="136"/>
    </row>
    <row r="720">
      <c r="A720" s="136"/>
      <c r="B720" s="136"/>
    </row>
    <row r="721">
      <c r="A721" s="136"/>
      <c r="B721" s="136"/>
    </row>
    <row r="722">
      <c r="A722" s="136"/>
      <c r="B722" s="136"/>
    </row>
    <row r="723">
      <c r="A723" s="136"/>
      <c r="B723" s="136"/>
    </row>
    <row r="724">
      <c r="A724" s="136"/>
      <c r="B724" s="136"/>
    </row>
    <row r="725">
      <c r="A725" s="136"/>
      <c r="B725" s="136"/>
    </row>
    <row r="726">
      <c r="A726" s="136"/>
      <c r="B726" s="136"/>
    </row>
    <row r="727">
      <c r="A727" s="136"/>
      <c r="B727" s="136"/>
    </row>
    <row r="728">
      <c r="A728" s="136"/>
      <c r="B728" s="136"/>
    </row>
    <row r="729">
      <c r="A729" s="136"/>
      <c r="B729" s="136"/>
    </row>
    <row r="730">
      <c r="A730" s="136"/>
      <c r="B730" s="136"/>
    </row>
    <row r="731">
      <c r="A731" s="136"/>
      <c r="B731" s="136"/>
    </row>
    <row r="732">
      <c r="A732" s="136"/>
      <c r="B732" s="136"/>
    </row>
    <row r="733">
      <c r="A733" s="136"/>
      <c r="B733" s="136"/>
    </row>
    <row r="734">
      <c r="A734" s="136"/>
      <c r="B734" s="136"/>
    </row>
    <row r="735">
      <c r="A735" s="136"/>
      <c r="B735" s="136"/>
    </row>
    <row r="736">
      <c r="A736" s="136"/>
      <c r="B736" s="136"/>
    </row>
    <row r="737">
      <c r="A737" s="136"/>
      <c r="B737" s="136"/>
    </row>
    <row r="738">
      <c r="A738" s="136"/>
      <c r="B738" s="136"/>
    </row>
    <row r="739">
      <c r="A739" s="136"/>
      <c r="B739" s="136"/>
    </row>
    <row r="740">
      <c r="A740" s="136"/>
      <c r="B740" s="136"/>
    </row>
    <row r="741">
      <c r="A741" s="136"/>
      <c r="B741" s="136"/>
    </row>
    <row r="742">
      <c r="A742" s="136"/>
      <c r="B742" s="136"/>
    </row>
    <row r="743">
      <c r="A743" s="136"/>
      <c r="B743" s="136"/>
    </row>
    <row r="744">
      <c r="A744" s="136"/>
      <c r="B744" s="136"/>
    </row>
    <row r="745">
      <c r="A745" s="136"/>
      <c r="B745" s="136"/>
    </row>
    <row r="746">
      <c r="A746" s="136"/>
      <c r="B746" s="136"/>
    </row>
    <row r="747">
      <c r="A747" s="136"/>
      <c r="B747" s="136"/>
    </row>
    <row r="748">
      <c r="A748" s="136"/>
      <c r="B748" s="136"/>
    </row>
    <row r="749">
      <c r="A749" s="136"/>
      <c r="B749" s="136"/>
    </row>
    <row r="750">
      <c r="A750" s="136"/>
      <c r="B750" s="136"/>
    </row>
    <row r="751">
      <c r="A751" s="136"/>
      <c r="B751" s="136"/>
    </row>
    <row r="752">
      <c r="A752" s="136"/>
      <c r="B752" s="136"/>
    </row>
    <row r="753">
      <c r="A753" s="136"/>
      <c r="B753" s="136"/>
    </row>
    <row r="754">
      <c r="A754" s="136"/>
      <c r="B754" s="136"/>
    </row>
    <row r="755">
      <c r="A755" s="136"/>
      <c r="B755" s="136"/>
    </row>
    <row r="756">
      <c r="A756" s="136"/>
      <c r="B756" s="136"/>
    </row>
    <row r="757">
      <c r="A757" s="136"/>
      <c r="B757" s="136"/>
    </row>
    <row r="758">
      <c r="A758" s="136"/>
      <c r="B758" s="136"/>
    </row>
    <row r="759">
      <c r="A759" s="136"/>
      <c r="B759" s="136"/>
    </row>
    <row r="760">
      <c r="A760" s="136"/>
      <c r="B760" s="136"/>
    </row>
    <row r="761">
      <c r="A761" s="136"/>
      <c r="B761" s="136"/>
    </row>
    <row r="762">
      <c r="A762" s="136"/>
      <c r="B762" s="136"/>
    </row>
    <row r="763">
      <c r="A763" s="136"/>
      <c r="B763" s="136"/>
    </row>
    <row r="764">
      <c r="A764" s="136"/>
      <c r="B764" s="136"/>
    </row>
    <row r="765">
      <c r="A765" s="136"/>
      <c r="B765" s="136"/>
    </row>
    <row r="766">
      <c r="A766" s="136"/>
      <c r="B766" s="136"/>
    </row>
    <row r="767">
      <c r="A767" s="136"/>
      <c r="B767" s="136"/>
    </row>
    <row r="768">
      <c r="A768" s="136"/>
      <c r="B768" s="136"/>
    </row>
    <row r="769">
      <c r="A769" s="136"/>
      <c r="B769" s="136"/>
    </row>
    <row r="770">
      <c r="A770" s="136"/>
      <c r="B770" s="136"/>
    </row>
    <row r="771">
      <c r="A771" s="136"/>
      <c r="B771" s="136"/>
    </row>
    <row r="772">
      <c r="A772" s="136"/>
      <c r="B772" s="136"/>
    </row>
    <row r="773">
      <c r="A773" s="136"/>
      <c r="B773" s="136"/>
    </row>
    <row r="774">
      <c r="A774" s="136"/>
      <c r="B774" s="136"/>
    </row>
    <row r="775">
      <c r="A775" s="136"/>
      <c r="B775" s="136"/>
    </row>
    <row r="776">
      <c r="A776" s="136"/>
      <c r="B776" s="136"/>
    </row>
    <row r="777">
      <c r="A777" s="136"/>
      <c r="B777" s="136"/>
    </row>
    <row r="778">
      <c r="A778" s="136"/>
      <c r="B778" s="136"/>
    </row>
    <row r="779">
      <c r="A779" s="136"/>
      <c r="B779" s="136"/>
    </row>
    <row r="780">
      <c r="A780" s="136"/>
      <c r="B780" s="136"/>
    </row>
    <row r="781">
      <c r="A781" s="136"/>
      <c r="B781" s="136"/>
    </row>
    <row r="782">
      <c r="A782" s="136"/>
      <c r="B782" s="136"/>
    </row>
    <row r="783">
      <c r="A783" s="136"/>
      <c r="B783" s="136"/>
    </row>
    <row r="784">
      <c r="A784" s="136"/>
      <c r="B784" s="136"/>
    </row>
    <row r="785">
      <c r="A785" s="136"/>
      <c r="B785" s="136"/>
    </row>
    <row r="786">
      <c r="A786" s="136"/>
      <c r="B786" s="136"/>
    </row>
    <row r="787">
      <c r="A787" s="136"/>
      <c r="B787" s="136"/>
    </row>
    <row r="788">
      <c r="A788" s="136"/>
      <c r="B788" s="136"/>
    </row>
    <row r="789">
      <c r="A789" s="136"/>
      <c r="B789" s="136"/>
    </row>
    <row r="790">
      <c r="A790" s="136"/>
      <c r="B790" s="136"/>
    </row>
    <row r="791">
      <c r="A791" s="136"/>
      <c r="B791" s="136"/>
    </row>
    <row r="792">
      <c r="A792" s="136"/>
      <c r="B792" s="136"/>
    </row>
    <row r="793">
      <c r="A793" s="136"/>
      <c r="B793" s="136"/>
    </row>
    <row r="794">
      <c r="A794" s="136"/>
      <c r="B794" s="136"/>
    </row>
    <row r="795">
      <c r="A795" s="136"/>
      <c r="B795" s="136"/>
    </row>
    <row r="796">
      <c r="A796" s="136"/>
      <c r="B796" s="136"/>
    </row>
    <row r="797">
      <c r="A797" s="136"/>
      <c r="B797" s="136"/>
    </row>
    <row r="798">
      <c r="A798" s="136"/>
      <c r="B798" s="136"/>
    </row>
    <row r="799">
      <c r="A799" s="136"/>
      <c r="B799" s="136"/>
    </row>
    <row r="800">
      <c r="A800" s="136"/>
      <c r="B800" s="136"/>
    </row>
    <row r="801">
      <c r="A801" s="136"/>
      <c r="B801" s="136"/>
    </row>
    <row r="802">
      <c r="A802" s="136"/>
      <c r="B802" s="136"/>
    </row>
    <row r="803">
      <c r="A803" s="136"/>
      <c r="B803" s="136"/>
    </row>
    <row r="804">
      <c r="A804" s="136"/>
      <c r="B804" s="136"/>
    </row>
    <row r="805">
      <c r="A805" s="136"/>
      <c r="B805" s="136"/>
    </row>
    <row r="806">
      <c r="A806" s="136"/>
      <c r="B806" s="136"/>
    </row>
    <row r="807">
      <c r="A807" s="136"/>
      <c r="B807" s="136"/>
    </row>
    <row r="808">
      <c r="A808" s="136"/>
      <c r="B808" s="136"/>
    </row>
    <row r="809">
      <c r="A809" s="136"/>
      <c r="B809" s="136"/>
    </row>
    <row r="810">
      <c r="A810" s="136"/>
      <c r="B810" s="136"/>
    </row>
    <row r="811">
      <c r="A811" s="136"/>
      <c r="B811" s="136"/>
    </row>
    <row r="812">
      <c r="A812" s="136"/>
      <c r="B812" s="136"/>
    </row>
    <row r="813">
      <c r="A813" s="136"/>
      <c r="B813" s="136"/>
    </row>
    <row r="814">
      <c r="A814" s="136"/>
      <c r="B814" s="136"/>
    </row>
    <row r="815">
      <c r="A815" s="136"/>
      <c r="B815" s="136"/>
    </row>
    <row r="816">
      <c r="A816" s="136"/>
      <c r="B816" s="136"/>
    </row>
    <row r="817">
      <c r="A817" s="136"/>
      <c r="B817" s="136"/>
    </row>
    <row r="818">
      <c r="A818" s="136"/>
      <c r="B818" s="136"/>
    </row>
    <row r="819">
      <c r="A819" s="136"/>
      <c r="B819" s="136"/>
    </row>
    <row r="820">
      <c r="A820" s="136"/>
      <c r="B820" s="136"/>
    </row>
    <row r="821">
      <c r="A821" s="136"/>
      <c r="B821" s="136"/>
    </row>
    <row r="822">
      <c r="A822" s="136"/>
      <c r="B822" s="136"/>
    </row>
    <row r="823">
      <c r="A823" s="136"/>
      <c r="B823" s="136"/>
    </row>
    <row r="824">
      <c r="A824" s="136"/>
      <c r="B824" s="136"/>
    </row>
    <row r="825">
      <c r="A825" s="136"/>
      <c r="B825" s="136"/>
    </row>
    <row r="826">
      <c r="A826" s="136"/>
      <c r="B826" s="136"/>
    </row>
    <row r="827">
      <c r="A827" s="136"/>
      <c r="B827" s="136"/>
    </row>
    <row r="828">
      <c r="A828" s="136"/>
      <c r="B828" s="136"/>
    </row>
    <row r="829">
      <c r="A829" s="136"/>
      <c r="B829" s="136"/>
    </row>
    <row r="830">
      <c r="A830" s="136"/>
      <c r="B830" s="136"/>
    </row>
    <row r="831">
      <c r="A831" s="136"/>
      <c r="B831" s="136"/>
    </row>
    <row r="832">
      <c r="A832" s="136"/>
      <c r="B832" s="136"/>
    </row>
    <row r="833">
      <c r="A833" s="136"/>
      <c r="B833" s="136"/>
    </row>
    <row r="834">
      <c r="A834" s="136"/>
      <c r="B834" s="136"/>
    </row>
    <row r="835">
      <c r="A835" s="136"/>
      <c r="B835" s="136"/>
    </row>
    <row r="836">
      <c r="A836" s="136"/>
      <c r="B836" s="136"/>
    </row>
    <row r="837">
      <c r="A837" s="136"/>
      <c r="B837" s="136"/>
    </row>
    <row r="838">
      <c r="A838" s="136"/>
      <c r="B838" s="136"/>
    </row>
    <row r="839">
      <c r="A839" s="136"/>
      <c r="B839" s="136"/>
    </row>
    <row r="840">
      <c r="A840" s="136"/>
      <c r="B840" s="136"/>
    </row>
    <row r="841">
      <c r="A841" s="136"/>
      <c r="B841" s="136"/>
    </row>
    <row r="842">
      <c r="A842" s="136"/>
      <c r="B842" s="136"/>
    </row>
    <row r="843">
      <c r="A843" s="136"/>
      <c r="B843" s="136"/>
    </row>
    <row r="844">
      <c r="A844" s="136"/>
      <c r="B844" s="136"/>
    </row>
    <row r="845">
      <c r="A845" s="136"/>
      <c r="B845" s="136"/>
    </row>
    <row r="846">
      <c r="A846" s="136"/>
      <c r="B846" s="136"/>
    </row>
    <row r="847">
      <c r="A847" s="136"/>
      <c r="B847" s="136"/>
    </row>
    <row r="848">
      <c r="A848" s="136"/>
      <c r="B848" s="136"/>
    </row>
    <row r="849">
      <c r="A849" s="136"/>
      <c r="B849" s="136"/>
    </row>
    <row r="850">
      <c r="A850" s="136"/>
      <c r="B850" s="136"/>
    </row>
    <row r="851">
      <c r="A851" s="136"/>
      <c r="B851" s="136"/>
    </row>
    <row r="852">
      <c r="A852" s="136"/>
      <c r="B852" s="136"/>
    </row>
    <row r="853">
      <c r="A853" s="136"/>
      <c r="B853" s="136"/>
    </row>
    <row r="854">
      <c r="A854" s="136"/>
      <c r="B854" s="136"/>
    </row>
    <row r="855">
      <c r="A855" s="136"/>
      <c r="B855" s="136"/>
    </row>
    <row r="856">
      <c r="A856" s="136"/>
      <c r="B856" s="136"/>
    </row>
    <row r="857">
      <c r="A857" s="136"/>
      <c r="B857" s="136"/>
    </row>
    <row r="858">
      <c r="A858" s="136"/>
      <c r="B858" s="136"/>
    </row>
    <row r="859">
      <c r="A859" s="136"/>
      <c r="B859" s="136"/>
    </row>
    <row r="860">
      <c r="A860" s="136"/>
      <c r="B860" s="136"/>
    </row>
    <row r="861">
      <c r="A861" s="136"/>
      <c r="B861" s="136"/>
    </row>
    <row r="862">
      <c r="A862" s="136"/>
      <c r="B862" s="136"/>
    </row>
    <row r="863">
      <c r="A863" s="136"/>
      <c r="B863" s="136"/>
    </row>
    <row r="864">
      <c r="A864" s="136"/>
      <c r="B864" s="136"/>
    </row>
    <row r="865">
      <c r="A865" s="136"/>
      <c r="B865" s="136"/>
    </row>
    <row r="866">
      <c r="A866" s="136"/>
      <c r="B866" s="136"/>
    </row>
    <row r="867">
      <c r="A867" s="136"/>
      <c r="B867" s="136"/>
    </row>
    <row r="868">
      <c r="A868" s="136"/>
      <c r="B868" s="136"/>
    </row>
    <row r="869">
      <c r="A869" s="136"/>
      <c r="B869" s="136"/>
    </row>
    <row r="870">
      <c r="A870" s="136"/>
      <c r="B870" s="136"/>
    </row>
    <row r="871">
      <c r="A871" s="136"/>
      <c r="B871" s="136"/>
    </row>
    <row r="872">
      <c r="A872" s="136"/>
      <c r="B872" s="136"/>
    </row>
    <row r="873">
      <c r="A873" s="136"/>
      <c r="B873" s="136"/>
    </row>
    <row r="874">
      <c r="A874" s="136"/>
      <c r="B874" s="136"/>
    </row>
    <row r="875">
      <c r="A875" s="136"/>
      <c r="B875" s="136"/>
    </row>
    <row r="876">
      <c r="A876" s="136"/>
      <c r="B876" s="136"/>
    </row>
    <row r="877">
      <c r="A877" s="136"/>
      <c r="B877" s="136"/>
    </row>
    <row r="878">
      <c r="A878" s="136"/>
      <c r="B878" s="136"/>
    </row>
    <row r="879">
      <c r="A879" s="136"/>
      <c r="B879" s="136"/>
    </row>
    <row r="880">
      <c r="A880" s="136"/>
      <c r="B880" s="136"/>
    </row>
    <row r="881">
      <c r="A881" s="136"/>
      <c r="B881" s="136"/>
    </row>
    <row r="882">
      <c r="A882" s="136"/>
      <c r="B882" s="136"/>
    </row>
    <row r="883">
      <c r="A883" s="136"/>
      <c r="B883" s="136"/>
    </row>
    <row r="884">
      <c r="A884" s="136"/>
      <c r="B884" s="136"/>
    </row>
    <row r="885">
      <c r="A885" s="136"/>
      <c r="B885" s="136"/>
    </row>
    <row r="886">
      <c r="A886" s="136"/>
      <c r="B886" s="136"/>
    </row>
    <row r="887">
      <c r="A887" s="136"/>
      <c r="B887" s="136"/>
    </row>
    <row r="888">
      <c r="A888" s="136"/>
      <c r="B888" s="136"/>
    </row>
    <row r="889">
      <c r="A889" s="136"/>
      <c r="B889" s="136"/>
    </row>
    <row r="890">
      <c r="A890" s="136"/>
      <c r="B890" s="136"/>
    </row>
    <row r="891">
      <c r="A891" s="136"/>
      <c r="B891" s="136"/>
    </row>
    <row r="892">
      <c r="A892" s="136"/>
      <c r="B892" s="136"/>
    </row>
    <row r="893">
      <c r="A893" s="136"/>
      <c r="B893" s="136"/>
    </row>
    <row r="894">
      <c r="A894" s="136"/>
      <c r="B894" s="136"/>
    </row>
    <row r="895">
      <c r="A895" s="136"/>
      <c r="B895" s="136"/>
    </row>
    <row r="896">
      <c r="A896" s="136"/>
      <c r="B896" s="136"/>
    </row>
    <row r="897">
      <c r="A897" s="136"/>
      <c r="B897" s="136"/>
    </row>
    <row r="898">
      <c r="A898" s="136"/>
      <c r="B898" s="136"/>
    </row>
    <row r="899">
      <c r="A899" s="136"/>
      <c r="B899" s="136"/>
    </row>
    <row r="900">
      <c r="A900" s="136"/>
      <c r="B900" s="136"/>
    </row>
    <row r="901">
      <c r="A901" s="136"/>
      <c r="B901" s="136"/>
    </row>
    <row r="902">
      <c r="A902" s="136"/>
      <c r="B902" s="136"/>
    </row>
    <row r="903">
      <c r="A903" s="136"/>
      <c r="B903" s="136"/>
    </row>
    <row r="904">
      <c r="A904" s="136"/>
      <c r="B904" s="136"/>
    </row>
    <row r="905">
      <c r="A905" s="136"/>
      <c r="B905" s="136"/>
    </row>
    <row r="906">
      <c r="A906" s="136"/>
      <c r="B906" s="136"/>
    </row>
    <row r="907">
      <c r="A907" s="136"/>
      <c r="B907" s="136"/>
    </row>
    <row r="908">
      <c r="A908" s="136"/>
      <c r="B908" s="136"/>
    </row>
    <row r="909">
      <c r="A909" s="136"/>
      <c r="B909" s="136"/>
    </row>
    <row r="910">
      <c r="A910" s="136"/>
      <c r="B910" s="136"/>
    </row>
    <row r="911">
      <c r="A911" s="136"/>
      <c r="B911" s="136"/>
    </row>
    <row r="912">
      <c r="A912" s="136"/>
      <c r="B912" s="136"/>
    </row>
    <row r="913">
      <c r="A913" s="136"/>
      <c r="B913" s="136"/>
    </row>
    <row r="914">
      <c r="A914" s="136"/>
      <c r="B914" s="136"/>
    </row>
    <row r="915">
      <c r="A915" s="136"/>
      <c r="B915" s="136"/>
    </row>
    <row r="916">
      <c r="A916" s="136"/>
      <c r="B916" s="136"/>
    </row>
    <row r="917">
      <c r="A917" s="136"/>
      <c r="B917" s="136"/>
    </row>
    <row r="918">
      <c r="A918" s="136"/>
      <c r="B918" s="136"/>
    </row>
    <row r="919">
      <c r="A919" s="136"/>
      <c r="B919" s="136"/>
    </row>
    <row r="920">
      <c r="A920" s="136"/>
      <c r="B920" s="136"/>
    </row>
    <row r="921">
      <c r="A921" s="136"/>
      <c r="B921" s="136"/>
    </row>
    <row r="922">
      <c r="A922" s="136"/>
      <c r="B922" s="136"/>
    </row>
    <row r="923">
      <c r="A923" s="136"/>
      <c r="B923" s="136"/>
    </row>
    <row r="924">
      <c r="A924" s="136"/>
      <c r="B924" s="136"/>
    </row>
    <row r="925">
      <c r="A925" s="136"/>
      <c r="B925" s="136"/>
    </row>
    <row r="926">
      <c r="A926" s="136"/>
      <c r="B926" s="136"/>
    </row>
    <row r="927">
      <c r="A927" s="136"/>
      <c r="B927" s="136"/>
    </row>
    <row r="928">
      <c r="A928" s="136"/>
      <c r="B928" s="136"/>
    </row>
    <row r="929">
      <c r="A929" s="136"/>
      <c r="B929" s="136"/>
    </row>
    <row r="930">
      <c r="A930" s="136"/>
      <c r="B930" s="136"/>
    </row>
    <row r="931">
      <c r="A931" s="136"/>
      <c r="B931" s="136"/>
    </row>
    <row r="932">
      <c r="A932" s="136"/>
      <c r="B932" s="136"/>
    </row>
    <row r="933">
      <c r="A933" s="136"/>
      <c r="B933" s="136"/>
    </row>
    <row r="934">
      <c r="A934" s="136"/>
      <c r="B934" s="136"/>
    </row>
    <row r="935">
      <c r="A935" s="136"/>
      <c r="B935" s="136"/>
    </row>
    <row r="936">
      <c r="A936" s="136"/>
      <c r="B936" s="136"/>
    </row>
    <row r="937">
      <c r="A937" s="136"/>
      <c r="B937" s="136"/>
    </row>
    <row r="938">
      <c r="A938" s="136"/>
      <c r="B938" s="136"/>
    </row>
    <row r="939">
      <c r="A939" s="136"/>
      <c r="B939" s="136"/>
    </row>
    <row r="940">
      <c r="A940" s="136"/>
      <c r="B940" s="136"/>
    </row>
    <row r="941">
      <c r="A941" s="136"/>
      <c r="B941" s="136"/>
    </row>
    <row r="942">
      <c r="A942" s="136"/>
      <c r="B942" s="136"/>
    </row>
    <row r="943">
      <c r="A943" s="136"/>
      <c r="B943" s="136"/>
    </row>
    <row r="944">
      <c r="A944" s="136"/>
      <c r="B944" s="136"/>
    </row>
    <row r="945">
      <c r="A945" s="136"/>
      <c r="B945" s="136"/>
    </row>
    <row r="946">
      <c r="A946" s="136"/>
      <c r="B946" s="136"/>
    </row>
    <row r="947">
      <c r="A947" s="136"/>
      <c r="B947" s="136"/>
    </row>
    <row r="948">
      <c r="A948" s="136"/>
      <c r="B948" s="136"/>
    </row>
    <row r="949">
      <c r="A949" s="136"/>
      <c r="B949" s="136"/>
    </row>
    <row r="950">
      <c r="A950" s="136"/>
      <c r="B950" s="136"/>
    </row>
    <row r="951">
      <c r="A951" s="136"/>
      <c r="B951" s="136"/>
    </row>
    <row r="952">
      <c r="A952" s="136"/>
      <c r="B952" s="136"/>
    </row>
    <row r="953">
      <c r="A953" s="136"/>
      <c r="B953" s="136"/>
    </row>
    <row r="954">
      <c r="A954" s="136"/>
      <c r="B954" s="136"/>
    </row>
    <row r="955">
      <c r="A955" s="136"/>
      <c r="B955" s="136"/>
    </row>
    <row r="956">
      <c r="A956" s="136"/>
      <c r="B956" s="136"/>
    </row>
    <row r="957">
      <c r="A957" s="136"/>
      <c r="B957" s="136"/>
    </row>
    <row r="958">
      <c r="A958" s="136"/>
      <c r="B958" s="136"/>
    </row>
    <row r="959">
      <c r="A959" s="136"/>
      <c r="B959" s="136"/>
    </row>
    <row r="960">
      <c r="A960" s="136"/>
      <c r="B960" s="136"/>
    </row>
    <row r="961">
      <c r="A961" s="136"/>
      <c r="B961" s="136"/>
    </row>
    <row r="962">
      <c r="A962" s="136"/>
      <c r="B962" s="136"/>
    </row>
    <row r="963">
      <c r="A963" s="136"/>
      <c r="B963" s="136"/>
    </row>
    <row r="964">
      <c r="A964" s="136"/>
      <c r="B964" s="136"/>
    </row>
    <row r="965">
      <c r="A965" s="136"/>
      <c r="B965" s="136"/>
    </row>
    <row r="966">
      <c r="A966" s="136"/>
      <c r="B966" s="136"/>
    </row>
    <row r="967">
      <c r="A967" s="136"/>
      <c r="B967" s="136"/>
    </row>
    <row r="968">
      <c r="A968" s="136"/>
      <c r="B968" s="136"/>
    </row>
    <row r="969">
      <c r="A969" s="136"/>
      <c r="B969" s="136"/>
    </row>
    <row r="970">
      <c r="A970" s="136"/>
      <c r="B970" s="136"/>
    </row>
    <row r="971">
      <c r="A971" s="136"/>
      <c r="B971" s="136"/>
    </row>
    <row r="972">
      <c r="A972" s="136"/>
      <c r="B972" s="136"/>
    </row>
    <row r="973">
      <c r="A973" s="136"/>
      <c r="B973" s="136"/>
    </row>
    <row r="974">
      <c r="A974" s="136"/>
      <c r="B974" s="136"/>
    </row>
    <row r="975">
      <c r="A975" s="136"/>
      <c r="B975" s="136"/>
    </row>
    <row r="976">
      <c r="A976" s="136"/>
      <c r="B976" s="136"/>
    </row>
    <row r="977">
      <c r="A977" s="136"/>
      <c r="B977" s="136"/>
    </row>
    <row r="978">
      <c r="A978" s="136"/>
      <c r="B978" s="136"/>
    </row>
    <row r="979">
      <c r="A979" s="136"/>
      <c r="B979" s="136"/>
    </row>
    <row r="980">
      <c r="A980" s="136"/>
      <c r="B980" s="136"/>
    </row>
    <row r="981">
      <c r="A981" s="136"/>
      <c r="B981" s="136"/>
    </row>
    <row r="982">
      <c r="A982" s="136"/>
      <c r="B982" s="136"/>
    </row>
    <row r="983">
      <c r="A983" s="136"/>
      <c r="B983" s="136"/>
    </row>
    <row r="984">
      <c r="A984" s="136"/>
      <c r="B984" s="136"/>
    </row>
    <row r="985">
      <c r="A985" s="136"/>
      <c r="B985" s="136"/>
    </row>
    <row r="986">
      <c r="A986" s="136"/>
      <c r="B986" s="136"/>
    </row>
    <row r="987">
      <c r="A987" s="136"/>
      <c r="B987" s="136"/>
    </row>
    <row r="988">
      <c r="A988" s="136"/>
      <c r="B988" s="136"/>
    </row>
    <row r="989">
      <c r="A989" s="136"/>
      <c r="B989" s="136"/>
    </row>
    <row r="990">
      <c r="A990" s="136"/>
      <c r="B990" s="136"/>
    </row>
    <row r="991">
      <c r="A991" s="136"/>
      <c r="B991" s="136"/>
    </row>
    <row r="992">
      <c r="A992" s="136"/>
      <c r="B992" s="136"/>
    </row>
    <row r="993">
      <c r="A993" s="136"/>
      <c r="B993" s="136"/>
    </row>
    <row r="994">
      <c r="A994" s="136"/>
      <c r="B994" s="136"/>
    </row>
    <row r="995">
      <c r="A995" s="136"/>
      <c r="B995" s="136"/>
    </row>
    <row r="996">
      <c r="A996" s="136"/>
      <c r="B996" s="136"/>
    </row>
    <row r="997">
      <c r="A997" s="136"/>
      <c r="B997" s="136"/>
    </row>
    <row r="998">
      <c r="A998" s="136"/>
      <c r="B998" s="136"/>
    </row>
    <row r="999">
      <c r="A999" s="136"/>
      <c r="B999" s="136"/>
    </row>
    <row r="1000">
      <c r="A1000" s="136"/>
      <c r="B1000" s="136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75"/>
    <col customWidth="1" min="3" max="3" width="7.13"/>
    <col customWidth="1" min="4" max="4" width="7.38"/>
    <col customWidth="1" min="5" max="5" width="1.0"/>
    <col customWidth="1" min="6" max="6" width="8.88"/>
    <col customWidth="1" min="7" max="7" width="7.38"/>
    <col customWidth="1" min="8" max="9" width="6.88"/>
    <col customWidth="1" min="10" max="10" width="0.75"/>
    <col customWidth="1" min="11" max="11" width="8.25"/>
    <col customWidth="1" min="12" max="12" width="9.13"/>
    <col customWidth="1" min="13" max="13" width="9.63"/>
    <col customWidth="1" min="14" max="14" width="9.88"/>
    <col customWidth="1" min="15" max="15" width="0.88"/>
    <col customWidth="1" min="16" max="16" width="8.25"/>
    <col customWidth="1" min="17" max="17" width="10.13"/>
    <col customWidth="1" min="18" max="18" width="9.38"/>
    <col customWidth="1" min="19" max="19" width="9.63"/>
    <col customWidth="1" min="20" max="20" width="6.75"/>
    <col customWidth="1" min="21" max="21" width="8.25"/>
    <col customWidth="1" min="22" max="22" width="9.38"/>
    <col customWidth="1" min="23" max="23" width="9.75"/>
    <col customWidth="1" min="25" max="25" width="15.0"/>
  </cols>
  <sheetData>
    <row r="1">
      <c r="A1" s="159" t="s">
        <v>514</v>
      </c>
      <c r="B1" s="159" t="s">
        <v>590</v>
      </c>
      <c r="C1" s="159" t="s">
        <v>591</v>
      </c>
      <c r="D1" s="159" t="s">
        <v>592</v>
      </c>
      <c r="E1" s="160"/>
      <c r="F1" s="161" t="s">
        <v>513</v>
      </c>
      <c r="G1" s="159" t="s">
        <v>590</v>
      </c>
      <c r="H1" s="159" t="s">
        <v>591</v>
      </c>
      <c r="I1" s="159" t="s">
        <v>592</v>
      </c>
      <c r="J1" s="160"/>
      <c r="K1" s="161" t="s">
        <v>512</v>
      </c>
      <c r="L1" s="159" t="s">
        <v>590</v>
      </c>
      <c r="M1" s="159" t="s">
        <v>591</v>
      </c>
      <c r="N1" s="159" t="s">
        <v>592</v>
      </c>
      <c r="O1" s="160"/>
      <c r="P1" s="161" t="s">
        <v>511</v>
      </c>
      <c r="Q1" s="159" t="s">
        <v>590</v>
      </c>
      <c r="R1" s="159" t="s">
        <v>591</v>
      </c>
      <c r="S1" s="159" t="s">
        <v>592</v>
      </c>
      <c r="T1" s="162"/>
      <c r="U1" s="162"/>
      <c r="V1" s="159" t="s">
        <v>591</v>
      </c>
      <c r="W1" s="159" t="s">
        <v>592</v>
      </c>
      <c r="X1" s="159" t="s">
        <v>593</v>
      </c>
      <c r="Y1" s="161" t="s">
        <v>594</v>
      </c>
    </row>
    <row r="2">
      <c r="A2" s="161" t="s">
        <v>341</v>
      </c>
      <c r="B2" s="159">
        <v>139.5</v>
      </c>
      <c r="C2" s="159">
        <v>11.0</v>
      </c>
      <c r="D2" s="159">
        <v>0.0</v>
      </c>
      <c r="E2" s="160"/>
      <c r="F2" s="161" t="s">
        <v>125</v>
      </c>
      <c r="G2" s="159">
        <v>165.74</v>
      </c>
      <c r="H2" s="159">
        <v>11.0</v>
      </c>
      <c r="I2" s="159">
        <v>0.0</v>
      </c>
      <c r="J2" s="160"/>
      <c r="K2" s="161" t="s">
        <v>341</v>
      </c>
      <c r="L2" s="159">
        <v>179.2</v>
      </c>
      <c r="M2" s="159">
        <v>11.0</v>
      </c>
      <c r="N2" s="159">
        <v>0.0</v>
      </c>
      <c r="O2" s="160"/>
      <c r="P2" s="161" t="s">
        <v>174</v>
      </c>
      <c r="Q2" s="159">
        <v>194.18</v>
      </c>
      <c r="R2" s="159">
        <v>11.0</v>
      </c>
      <c r="S2" s="159">
        <v>0.0</v>
      </c>
      <c r="T2" s="162"/>
      <c r="U2" s="161" t="s">
        <v>481</v>
      </c>
      <c r="V2" s="159">
        <v>113.0</v>
      </c>
      <c r="W2" s="159">
        <v>41.0</v>
      </c>
      <c r="X2" s="163">
        <v>0.7338</v>
      </c>
      <c r="Y2" s="159">
        <v>-0.27</v>
      </c>
    </row>
    <row r="3">
      <c r="A3" s="161" t="s">
        <v>100</v>
      </c>
      <c r="B3" s="159">
        <v>134.0</v>
      </c>
      <c r="C3" s="159">
        <v>10.0</v>
      </c>
      <c r="D3" s="159">
        <v>1.0</v>
      </c>
      <c r="E3" s="160"/>
      <c r="F3" s="161" t="s">
        <v>221</v>
      </c>
      <c r="G3" s="159">
        <v>154.54</v>
      </c>
      <c r="H3" s="159">
        <v>10.0</v>
      </c>
      <c r="I3" s="159">
        <v>1.0</v>
      </c>
      <c r="J3" s="160"/>
      <c r="K3" s="161" t="s">
        <v>481</v>
      </c>
      <c r="L3" s="159">
        <v>158.7</v>
      </c>
      <c r="M3" s="159">
        <v>10.0</v>
      </c>
      <c r="N3" s="159">
        <v>1.0</v>
      </c>
      <c r="O3" s="160"/>
      <c r="P3" s="161" t="s">
        <v>221</v>
      </c>
      <c r="Q3" s="159">
        <v>143.26</v>
      </c>
      <c r="R3" s="159">
        <v>10.0</v>
      </c>
      <c r="S3" s="159">
        <v>1.0</v>
      </c>
      <c r="T3" s="162"/>
      <c r="U3" s="161" t="s">
        <v>174</v>
      </c>
      <c r="V3" s="159">
        <v>103.0</v>
      </c>
      <c r="W3" s="159">
        <v>51.0</v>
      </c>
      <c r="X3" s="163">
        <v>0.6688</v>
      </c>
      <c r="Y3" s="159">
        <v>-0.36</v>
      </c>
    </row>
    <row r="4">
      <c r="A4" s="161" t="s">
        <v>152</v>
      </c>
      <c r="B4" s="159">
        <v>133.68</v>
      </c>
      <c r="C4" s="159">
        <v>9.0</v>
      </c>
      <c r="D4" s="159">
        <v>2.0</v>
      </c>
      <c r="E4" s="160"/>
      <c r="F4" s="161" t="s">
        <v>100</v>
      </c>
      <c r="G4" s="159">
        <v>147.38</v>
      </c>
      <c r="H4" s="159">
        <v>9.0</v>
      </c>
      <c r="I4" s="159">
        <v>2.0</v>
      </c>
      <c r="J4" s="160"/>
      <c r="K4" s="161" t="s">
        <v>100</v>
      </c>
      <c r="L4" s="159">
        <v>144.02</v>
      </c>
      <c r="M4" s="159">
        <v>9.0</v>
      </c>
      <c r="N4" s="159">
        <v>2.0</v>
      </c>
      <c r="O4" s="160"/>
      <c r="P4" s="161" t="s">
        <v>245</v>
      </c>
      <c r="Q4" s="159">
        <v>141.58</v>
      </c>
      <c r="R4" s="159">
        <v>9.0</v>
      </c>
      <c r="S4" s="159">
        <v>2.0</v>
      </c>
      <c r="T4" s="162"/>
      <c r="U4" s="161" t="s">
        <v>221</v>
      </c>
      <c r="V4" s="159">
        <v>98.0</v>
      </c>
      <c r="W4" s="159">
        <v>56.0</v>
      </c>
      <c r="X4" s="163">
        <v>0.6364</v>
      </c>
      <c r="Y4" s="159">
        <v>0.09</v>
      </c>
    </row>
    <row r="5">
      <c r="A5" s="161" t="s">
        <v>481</v>
      </c>
      <c r="B5" s="159">
        <v>130.88</v>
      </c>
      <c r="C5" s="159">
        <v>8.0</v>
      </c>
      <c r="D5" s="159">
        <v>3.0</v>
      </c>
      <c r="E5" s="160"/>
      <c r="F5" s="161" t="s">
        <v>341</v>
      </c>
      <c r="G5" s="159">
        <v>147.14</v>
      </c>
      <c r="H5" s="159">
        <v>8.0</v>
      </c>
      <c r="I5" s="159">
        <v>3.0</v>
      </c>
      <c r="J5" s="160"/>
      <c r="K5" s="161" t="s">
        <v>245</v>
      </c>
      <c r="L5" s="159">
        <v>143.5</v>
      </c>
      <c r="M5" s="159">
        <v>8.0</v>
      </c>
      <c r="N5" s="159">
        <v>3.0</v>
      </c>
      <c r="O5" s="160"/>
      <c r="P5" s="161" t="s">
        <v>341</v>
      </c>
      <c r="Q5" s="159">
        <v>139.9</v>
      </c>
      <c r="R5" s="159">
        <v>8.0</v>
      </c>
      <c r="S5" s="159">
        <v>3.0</v>
      </c>
      <c r="T5" s="162"/>
      <c r="U5" s="161" t="s">
        <v>100</v>
      </c>
      <c r="V5" s="159">
        <v>96.0</v>
      </c>
      <c r="W5" s="159">
        <v>58.0</v>
      </c>
      <c r="X5" s="163">
        <v>0.6234</v>
      </c>
      <c r="Y5" s="164">
        <v>2.27</v>
      </c>
    </row>
    <row r="6">
      <c r="A6" s="161" t="s">
        <v>221</v>
      </c>
      <c r="B6" s="159">
        <v>128.4</v>
      </c>
      <c r="C6" s="159">
        <v>7.0</v>
      </c>
      <c r="D6" s="159">
        <v>4.0</v>
      </c>
      <c r="E6" s="160"/>
      <c r="F6" s="161" t="s">
        <v>174</v>
      </c>
      <c r="G6" s="159">
        <v>126.32</v>
      </c>
      <c r="H6" s="159">
        <v>7.0</v>
      </c>
      <c r="I6" s="159">
        <v>4.0</v>
      </c>
      <c r="J6" s="160"/>
      <c r="K6" s="161" t="s">
        <v>152</v>
      </c>
      <c r="L6" s="159">
        <v>133.92</v>
      </c>
      <c r="M6" s="159">
        <v>7.0</v>
      </c>
      <c r="N6" s="159">
        <v>4.0</v>
      </c>
      <c r="O6" s="160"/>
      <c r="P6" s="161" t="s">
        <v>199</v>
      </c>
      <c r="Q6" s="159">
        <v>133.06</v>
      </c>
      <c r="R6" s="159">
        <v>7.0</v>
      </c>
      <c r="S6" s="159">
        <v>4.0</v>
      </c>
      <c r="T6" s="161" t="s">
        <v>595</v>
      </c>
      <c r="U6" s="161" t="s">
        <v>245</v>
      </c>
      <c r="V6" s="159">
        <v>92.0</v>
      </c>
      <c r="W6" s="159">
        <v>62.0</v>
      </c>
      <c r="X6" s="163">
        <v>0.5974</v>
      </c>
      <c r="Y6" s="164">
        <v>1.64</v>
      </c>
    </row>
    <row r="7">
      <c r="A7" s="161" t="s">
        <v>199</v>
      </c>
      <c r="B7" s="159">
        <v>126.94</v>
      </c>
      <c r="C7" s="159">
        <v>6.0</v>
      </c>
      <c r="D7" s="159">
        <v>5.0</v>
      </c>
      <c r="E7" s="160"/>
      <c r="F7" s="161" t="s">
        <v>420</v>
      </c>
      <c r="G7" s="159">
        <v>120.42</v>
      </c>
      <c r="H7" s="159">
        <v>6.0</v>
      </c>
      <c r="I7" s="159">
        <v>5.0</v>
      </c>
      <c r="J7" s="160"/>
      <c r="K7" s="161" t="s">
        <v>174</v>
      </c>
      <c r="L7" s="159">
        <v>119.6</v>
      </c>
      <c r="M7" s="159">
        <v>6.0</v>
      </c>
      <c r="N7" s="159">
        <v>5.0</v>
      </c>
      <c r="O7" s="160"/>
      <c r="P7" s="161" t="s">
        <v>152</v>
      </c>
      <c r="Q7" s="159">
        <v>125.16</v>
      </c>
      <c r="R7" s="159">
        <v>6.0</v>
      </c>
      <c r="S7" s="159">
        <v>5.0</v>
      </c>
      <c r="T7" s="162"/>
      <c r="U7" s="161" t="s">
        <v>421</v>
      </c>
      <c r="V7" s="159">
        <v>83.0</v>
      </c>
      <c r="W7" s="159">
        <v>71.0</v>
      </c>
      <c r="X7" s="163">
        <v>0.539</v>
      </c>
      <c r="Y7" s="164">
        <v>1.45</v>
      </c>
    </row>
    <row r="8">
      <c r="A8" s="161" t="s">
        <v>421</v>
      </c>
      <c r="B8" s="159">
        <v>111.82</v>
      </c>
      <c r="C8" s="159">
        <v>5.0</v>
      </c>
      <c r="D8" s="159">
        <v>6.0</v>
      </c>
      <c r="E8" s="160"/>
      <c r="F8" s="161" t="s">
        <v>152</v>
      </c>
      <c r="G8" s="159">
        <v>119.98</v>
      </c>
      <c r="H8" s="159">
        <v>5.0</v>
      </c>
      <c r="I8" s="159">
        <v>6.0</v>
      </c>
      <c r="J8" s="160"/>
      <c r="K8" s="161" t="s">
        <v>421</v>
      </c>
      <c r="L8" s="159">
        <v>118.18</v>
      </c>
      <c r="M8" s="159">
        <v>5.0</v>
      </c>
      <c r="N8" s="159">
        <v>6.0</v>
      </c>
      <c r="O8" s="160"/>
      <c r="P8" s="161" t="s">
        <v>125</v>
      </c>
      <c r="Q8" s="159">
        <v>124.48</v>
      </c>
      <c r="R8" s="159">
        <v>5.0</v>
      </c>
      <c r="S8" s="159">
        <v>6.0</v>
      </c>
      <c r="T8" s="162"/>
      <c r="U8" s="161" t="s">
        <v>341</v>
      </c>
      <c r="V8" s="159">
        <v>79.0</v>
      </c>
      <c r="W8" s="159">
        <v>75.0</v>
      </c>
      <c r="X8" s="163">
        <v>0.513</v>
      </c>
      <c r="Y8" s="159">
        <v>-0.18</v>
      </c>
    </row>
    <row r="9">
      <c r="A9" s="161" t="s">
        <v>245</v>
      </c>
      <c r="B9" s="159">
        <v>108.98</v>
      </c>
      <c r="C9" s="159">
        <v>4.0</v>
      </c>
      <c r="D9" s="159">
        <v>7.0</v>
      </c>
      <c r="E9" s="160"/>
      <c r="F9" s="161" t="s">
        <v>481</v>
      </c>
      <c r="G9" s="159">
        <v>115.52</v>
      </c>
      <c r="H9" s="159">
        <v>4.0</v>
      </c>
      <c r="I9" s="159">
        <v>7.0</v>
      </c>
      <c r="J9" s="160"/>
      <c r="K9" s="161" t="s">
        <v>420</v>
      </c>
      <c r="L9" s="159">
        <v>118.06</v>
      </c>
      <c r="M9" s="159">
        <v>4.0</v>
      </c>
      <c r="N9" s="159">
        <v>7.0</v>
      </c>
      <c r="O9" s="160"/>
      <c r="P9" s="161" t="s">
        <v>420</v>
      </c>
      <c r="Q9" s="159">
        <v>123.6</v>
      </c>
      <c r="R9" s="159">
        <v>4.0</v>
      </c>
      <c r="S9" s="159">
        <v>7.0</v>
      </c>
      <c r="T9" s="162"/>
      <c r="U9" s="161" t="s">
        <v>152</v>
      </c>
      <c r="V9" s="159">
        <v>67.0</v>
      </c>
      <c r="W9" s="159">
        <v>87.0</v>
      </c>
      <c r="X9" s="163">
        <v>0.4351</v>
      </c>
      <c r="Y9" s="165">
        <v>-2.09</v>
      </c>
    </row>
    <row r="10">
      <c r="A10" s="161" t="s">
        <v>174</v>
      </c>
      <c r="B10" s="159">
        <v>107.46</v>
      </c>
      <c r="C10" s="159">
        <v>3.0</v>
      </c>
      <c r="D10" s="159">
        <v>8.0</v>
      </c>
      <c r="E10" s="160"/>
      <c r="F10" s="161" t="s">
        <v>245</v>
      </c>
      <c r="G10" s="159">
        <v>115.42</v>
      </c>
      <c r="H10" s="159">
        <v>3.0</v>
      </c>
      <c r="I10" s="159">
        <v>8.0</v>
      </c>
      <c r="J10" s="160"/>
      <c r="K10" s="161" t="s">
        <v>199</v>
      </c>
      <c r="L10" s="159">
        <v>109.54</v>
      </c>
      <c r="M10" s="159">
        <v>3.0</v>
      </c>
      <c r="N10" s="159">
        <v>8.0</v>
      </c>
      <c r="O10" s="160"/>
      <c r="P10" s="161" t="s">
        <v>596</v>
      </c>
      <c r="Q10" s="159">
        <v>122.04</v>
      </c>
      <c r="R10" s="159">
        <v>3.0</v>
      </c>
      <c r="S10" s="159">
        <v>8.0</v>
      </c>
      <c r="T10" s="162"/>
      <c r="U10" s="161" t="s">
        <v>596</v>
      </c>
      <c r="V10" s="159">
        <v>52.0</v>
      </c>
      <c r="W10" s="159">
        <v>102.0</v>
      </c>
      <c r="X10" s="163">
        <v>0.3377</v>
      </c>
      <c r="Y10" s="159">
        <v>-0.73</v>
      </c>
    </row>
    <row r="11">
      <c r="A11" s="161" t="s">
        <v>596</v>
      </c>
      <c r="B11" s="159">
        <v>95.86</v>
      </c>
      <c r="C11" s="159">
        <v>2.0</v>
      </c>
      <c r="D11" s="159">
        <v>9.0</v>
      </c>
      <c r="E11" s="160"/>
      <c r="F11" s="161" t="s">
        <v>199</v>
      </c>
      <c r="G11" s="159">
        <v>114.48</v>
      </c>
      <c r="H11" s="159">
        <v>2.0</v>
      </c>
      <c r="I11" s="159">
        <v>9.0</v>
      </c>
      <c r="J11" s="160"/>
      <c r="K11" s="161" t="s">
        <v>596</v>
      </c>
      <c r="L11" s="159">
        <v>90.3</v>
      </c>
      <c r="M11" s="159">
        <v>2.0</v>
      </c>
      <c r="N11" s="159">
        <v>9.0</v>
      </c>
      <c r="O11" s="160"/>
      <c r="P11" s="161" t="s">
        <v>421</v>
      </c>
      <c r="Q11" s="159">
        <v>116.48</v>
      </c>
      <c r="R11" s="159">
        <v>2.0</v>
      </c>
      <c r="S11" s="159">
        <v>9.0</v>
      </c>
      <c r="T11" s="162"/>
      <c r="U11" s="161" t="s">
        <v>199</v>
      </c>
      <c r="V11" s="159">
        <v>50.0</v>
      </c>
      <c r="W11" s="159">
        <v>104.0</v>
      </c>
      <c r="X11" s="163">
        <v>0.3247</v>
      </c>
      <c r="Y11" s="164">
        <v>1.45</v>
      </c>
    </row>
    <row r="12">
      <c r="A12" s="161" t="s">
        <v>420</v>
      </c>
      <c r="B12" s="159">
        <v>89.1</v>
      </c>
      <c r="C12" s="159">
        <v>1.0</v>
      </c>
      <c r="D12" s="159">
        <v>10.0</v>
      </c>
      <c r="E12" s="160"/>
      <c r="F12" s="161" t="s">
        <v>421</v>
      </c>
      <c r="G12" s="159">
        <v>106.6</v>
      </c>
      <c r="H12" s="159">
        <v>1.0</v>
      </c>
      <c r="I12" s="159">
        <v>10.0</v>
      </c>
      <c r="J12" s="160"/>
      <c r="K12" s="161" t="s">
        <v>125</v>
      </c>
      <c r="L12" s="159">
        <v>84.84</v>
      </c>
      <c r="M12" s="159">
        <v>1.0</v>
      </c>
      <c r="N12" s="159">
        <v>10.0</v>
      </c>
      <c r="O12" s="160"/>
      <c r="P12" s="161" t="s">
        <v>481</v>
      </c>
      <c r="Q12" s="159">
        <v>116.1</v>
      </c>
      <c r="R12" s="159">
        <v>1.0</v>
      </c>
      <c r="S12" s="159">
        <v>10.0</v>
      </c>
      <c r="T12" s="162"/>
      <c r="U12" s="161" t="s">
        <v>420</v>
      </c>
      <c r="V12" s="159">
        <v>48.0</v>
      </c>
      <c r="W12" s="159">
        <v>106.0</v>
      </c>
      <c r="X12" s="163">
        <v>0.3117</v>
      </c>
      <c r="Y12" s="165">
        <v>-2.36</v>
      </c>
    </row>
    <row r="13">
      <c r="A13" s="161" t="s">
        <v>125</v>
      </c>
      <c r="B13" s="159">
        <v>83.92</v>
      </c>
      <c r="C13" s="159">
        <v>0.0</v>
      </c>
      <c r="D13" s="159">
        <v>11.0</v>
      </c>
      <c r="E13" s="160"/>
      <c r="F13" s="161" t="s">
        <v>596</v>
      </c>
      <c r="G13" s="159">
        <v>97.7</v>
      </c>
      <c r="H13" s="159">
        <v>0.0</v>
      </c>
      <c r="I13" s="159">
        <v>11.0</v>
      </c>
      <c r="J13" s="160"/>
      <c r="K13" s="161" t="s">
        <v>221</v>
      </c>
      <c r="L13" s="159">
        <v>72.98</v>
      </c>
      <c r="M13" s="159">
        <v>0.0</v>
      </c>
      <c r="N13" s="159">
        <v>11.0</v>
      </c>
      <c r="O13" s="160"/>
      <c r="P13" s="161" t="s">
        <v>100</v>
      </c>
      <c r="Q13" s="159">
        <v>86.54</v>
      </c>
      <c r="R13" s="159">
        <v>0.0</v>
      </c>
      <c r="S13" s="159">
        <v>11.0</v>
      </c>
      <c r="T13" s="162"/>
      <c r="U13" s="161" t="s">
        <v>125</v>
      </c>
      <c r="V13" s="159">
        <v>43.0</v>
      </c>
      <c r="W13" s="159">
        <v>111.0</v>
      </c>
      <c r="X13" s="163">
        <v>0.2792</v>
      </c>
      <c r="Y13" s="159">
        <v>-0.91</v>
      </c>
    </row>
    <row r="14">
      <c r="A14" s="162"/>
      <c r="B14" s="162"/>
      <c r="C14" s="162"/>
      <c r="D14" s="166"/>
      <c r="E14" s="160"/>
      <c r="F14" s="162"/>
      <c r="G14" s="162"/>
      <c r="H14" s="162"/>
      <c r="I14" s="162"/>
      <c r="J14" s="160"/>
      <c r="K14" s="162"/>
      <c r="L14" s="162"/>
      <c r="M14" s="162"/>
      <c r="N14" s="162"/>
      <c r="O14" s="160"/>
      <c r="P14" s="162"/>
      <c r="Q14" s="162"/>
      <c r="R14" s="162"/>
      <c r="S14" s="162"/>
      <c r="T14" s="162"/>
      <c r="U14" s="162"/>
      <c r="V14" s="162"/>
      <c r="W14" s="162"/>
      <c r="X14" s="162"/>
      <c r="Y14" s="162"/>
    </row>
    <row r="15">
      <c r="A15" s="162"/>
      <c r="B15" s="162"/>
      <c r="C15" s="162"/>
      <c r="D15" s="166"/>
      <c r="E15" s="160"/>
      <c r="F15" s="162"/>
      <c r="G15" s="162"/>
      <c r="H15" s="162"/>
      <c r="I15" s="162"/>
      <c r="J15" s="160"/>
      <c r="K15" s="162"/>
      <c r="L15" s="162"/>
      <c r="M15" s="162"/>
      <c r="N15" s="162"/>
      <c r="O15" s="160"/>
      <c r="P15" s="162"/>
      <c r="Q15" s="162"/>
      <c r="R15" s="162"/>
      <c r="S15" s="162"/>
      <c r="T15" s="162"/>
      <c r="U15" s="166"/>
      <c r="V15" s="166"/>
      <c r="W15" s="162"/>
      <c r="X15" s="162"/>
      <c r="Y15" s="167"/>
    </row>
    <row r="16">
      <c r="A16" s="161" t="s">
        <v>510</v>
      </c>
      <c r="B16" s="159" t="s">
        <v>590</v>
      </c>
      <c r="C16" s="159" t="s">
        <v>591</v>
      </c>
      <c r="D16" s="159" t="s">
        <v>592</v>
      </c>
      <c r="E16" s="160"/>
      <c r="F16" s="161" t="s">
        <v>509</v>
      </c>
      <c r="G16" s="159" t="s">
        <v>590</v>
      </c>
      <c r="H16" s="159" t="s">
        <v>591</v>
      </c>
      <c r="I16" s="159" t="s">
        <v>592</v>
      </c>
      <c r="J16" s="160"/>
      <c r="K16" s="161" t="s">
        <v>508</v>
      </c>
      <c r="L16" s="159" t="s">
        <v>590</v>
      </c>
      <c r="M16" s="159" t="s">
        <v>591</v>
      </c>
      <c r="N16" s="159" t="s">
        <v>592</v>
      </c>
      <c r="O16" s="160"/>
      <c r="P16" s="161" t="s">
        <v>507</v>
      </c>
      <c r="Q16" s="159" t="s">
        <v>590</v>
      </c>
      <c r="R16" s="159" t="s">
        <v>591</v>
      </c>
      <c r="S16" s="159" t="s">
        <v>592</v>
      </c>
      <c r="T16" s="162"/>
      <c r="U16" s="161" t="s">
        <v>481</v>
      </c>
      <c r="V16" s="159">
        <v>10.0</v>
      </c>
      <c r="W16" s="159">
        <v>4.0</v>
      </c>
      <c r="X16" s="163">
        <v>0.7143</v>
      </c>
      <c r="Y16" s="163">
        <v>-0.0195</v>
      </c>
    </row>
    <row r="17">
      <c r="A17" s="161" t="s">
        <v>174</v>
      </c>
      <c r="B17" s="159">
        <v>174.4</v>
      </c>
      <c r="C17" s="159">
        <v>11.0</v>
      </c>
      <c r="D17" s="159">
        <v>0.0</v>
      </c>
      <c r="E17" s="160"/>
      <c r="F17" s="161" t="s">
        <v>245</v>
      </c>
      <c r="G17" s="159">
        <v>168.72</v>
      </c>
      <c r="H17" s="159">
        <v>11.0</v>
      </c>
      <c r="I17" s="159">
        <v>0.0</v>
      </c>
      <c r="J17" s="160"/>
      <c r="K17" s="161" t="s">
        <v>174</v>
      </c>
      <c r="L17" s="159">
        <v>171.9</v>
      </c>
      <c r="M17" s="159">
        <v>11.0</v>
      </c>
      <c r="N17" s="159">
        <v>0.0</v>
      </c>
      <c r="O17" s="160"/>
      <c r="P17" s="161" t="s">
        <v>152</v>
      </c>
      <c r="Q17" s="159">
        <v>179.96</v>
      </c>
      <c r="R17" s="159">
        <v>11.0</v>
      </c>
      <c r="S17" s="159">
        <v>0.0</v>
      </c>
      <c r="T17" s="162"/>
      <c r="U17" s="161" t="s">
        <v>174</v>
      </c>
      <c r="V17" s="159">
        <v>9.0</v>
      </c>
      <c r="W17" s="159">
        <v>5.0</v>
      </c>
      <c r="X17" s="163">
        <v>0.6429</v>
      </c>
      <c r="Y17" s="163">
        <v>-0.026</v>
      </c>
    </row>
    <row r="18">
      <c r="A18" s="161" t="s">
        <v>421</v>
      </c>
      <c r="B18" s="159">
        <v>163.78</v>
      </c>
      <c r="C18" s="159">
        <v>10.0</v>
      </c>
      <c r="D18" s="159">
        <v>1.0</v>
      </c>
      <c r="E18" s="160"/>
      <c r="F18" s="161" t="s">
        <v>221</v>
      </c>
      <c r="G18" s="159">
        <v>168.5</v>
      </c>
      <c r="H18" s="159">
        <v>10.0</v>
      </c>
      <c r="I18" s="159">
        <v>1.0</v>
      </c>
      <c r="J18" s="160"/>
      <c r="K18" s="161" t="s">
        <v>481</v>
      </c>
      <c r="L18" s="159">
        <v>170.04</v>
      </c>
      <c r="M18" s="159">
        <v>10.0</v>
      </c>
      <c r="N18" s="159">
        <v>1.0</v>
      </c>
      <c r="O18" s="160"/>
      <c r="P18" s="161" t="s">
        <v>100</v>
      </c>
      <c r="Q18" s="159">
        <v>154.96</v>
      </c>
      <c r="R18" s="159">
        <v>10.0</v>
      </c>
      <c r="S18" s="159">
        <v>1.0</v>
      </c>
      <c r="T18" s="162"/>
      <c r="U18" s="161" t="s">
        <v>221</v>
      </c>
      <c r="V18" s="159">
        <v>9.0</v>
      </c>
      <c r="W18" s="159">
        <v>5.0</v>
      </c>
      <c r="X18" s="163">
        <v>0.6429</v>
      </c>
      <c r="Y18" s="163">
        <v>0.0065</v>
      </c>
    </row>
    <row r="19">
      <c r="A19" s="161" t="s">
        <v>152</v>
      </c>
      <c r="B19" s="159">
        <v>156.08</v>
      </c>
      <c r="C19" s="159">
        <v>9.0</v>
      </c>
      <c r="D19" s="159">
        <v>2.0</v>
      </c>
      <c r="E19" s="160"/>
      <c r="F19" s="161" t="s">
        <v>100</v>
      </c>
      <c r="G19" s="159">
        <v>143.52</v>
      </c>
      <c r="H19" s="159">
        <v>9.0</v>
      </c>
      <c r="I19" s="159">
        <v>2.0</v>
      </c>
      <c r="J19" s="160"/>
      <c r="K19" s="161" t="s">
        <v>100</v>
      </c>
      <c r="L19" s="159">
        <v>168.62</v>
      </c>
      <c r="M19" s="159">
        <v>9.0</v>
      </c>
      <c r="N19" s="159">
        <v>2.0</v>
      </c>
      <c r="O19" s="160"/>
      <c r="P19" s="161" t="s">
        <v>421</v>
      </c>
      <c r="Q19" s="159">
        <v>141.04</v>
      </c>
      <c r="R19" s="159">
        <v>9.0</v>
      </c>
      <c r="S19" s="159">
        <v>2.0</v>
      </c>
      <c r="T19" s="162"/>
      <c r="U19" s="161" t="s">
        <v>100</v>
      </c>
      <c r="V19" s="159">
        <v>11.0</v>
      </c>
      <c r="W19" s="159">
        <v>3.0</v>
      </c>
      <c r="X19" s="163">
        <v>0.7857</v>
      </c>
      <c r="Y19" s="168">
        <v>0.1623</v>
      </c>
    </row>
    <row r="20">
      <c r="A20" s="161" t="s">
        <v>245</v>
      </c>
      <c r="B20" s="159">
        <v>144.32</v>
      </c>
      <c r="C20" s="159">
        <v>8.0</v>
      </c>
      <c r="D20" s="159">
        <v>3.0</v>
      </c>
      <c r="E20" s="160"/>
      <c r="F20" s="161" t="s">
        <v>174</v>
      </c>
      <c r="G20" s="159">
        <v>143.06</v>
      </c>
      <c r="H20" s="159">
        <v>8.0</v>
      </c>
      <c r="I20" s="159">
        <v>3.0</v>
      </c>
      <c r="J20" s="160"/>
      <c r="K20" s="161" t="s">
        <v>420</v>
      </c>
      <c r="L20" s="159">
        <v>159.5</v>
      </c>
      <c r="M20" s="159">
        <v>8.0</v>
      </c>
      <c r="N20" s="159">
        <v>3.0</v>
      </c>
      <c r="O20" s="160"/>
      <c r="P20" s="161" t="s">
        <v>481</v>
      </c>
      <c r="Q20" s="159">
        <v>139.9</v>
      </c>
      <c r="R20" s="159">
        <v>8.0</v>
      </c>
      <c r="S20" s="159">
        <v>3.0</v>
      </c>
      <c r="T20" s="162"/>
      <c r="U20" s="161" t="s">
        <v>245</v>
      </c>
      <c r="V20" s="159">
        <v>10.0</v>
      </c>
      <c r="W20" s="159">
        <v>4.0</v>
      </c>
      <c r="X20" s="163">
        <v>0.7143</v>
      </c>
      <c r="Y20" s="168">
        <v>0.1169</v>
      </c>
    </row>
    <row r="21">
      <c r="A21" s="161" t="s">
        <v>221</v>
      </c>
      <c r="B21" s="159">
        <v>138.22</v>
      </c>
      <c r="C21" s="159">
        <v>7.0</v>
      </c>
      <c r="D21" s="159">
        <v>4.0</v>
      </c>
      <c r="E21" s="160"/>
      <c r="F21" s="161" t="s">
        <v>481</v>
      </c>
      <c r="G21" s="159">
        <v>124.04</v>
      </c>
      <c r="H21" s="159">
        <v>7.0</v>
      </c>
      <c r="I21" s="159">
        <v>4.0</v>
      </c>
      <c r="J21" s="160"/>
      <c r="K21" s="161" t="s">
        <v>125</v>
      </c>
      <c r="L21" s="159">
        <v>135.04</v>
      </c>
      <c r="M21" s="159">
        <v>7.0</v>
      </c>
      <c r="N21" s="159">
        <v>4.0</v>
      </c>
      <c r="O21" s="160"/>
      <c r="P21" s="161" t="s">
        <v>174</v>
      </c>
      <c r="Q21" s="159">
        <v>134.48</v>
      </c>
      <c r="R21" s="159">
        <v>7.0</v>
      </c>
      <c r="S21" s="159">
        <v>4.0</v>
      </c>
      <c r="T21" s="162"/>
      <c r="U21" s="161" t="s">
        <v>421</v>
      </c>
      <c r="V21" s="159">
        <v>9.0</v>
      </c>
      <c r="W21" s="159">
        <v>5.0</v>
      </c>
      <c r="X21" s="163">
        <v>0.6429</v>
      </c>
      <c r="Y21" s="168">
        <v>0.1039</v>
      </c>
    </row>
    <row r="22">
      <c r="A22" s="161" t="s">
        <v>341</v>
      </c>
      <c r="B22" s="159">
        <v>135.12</v>
      </c>
      <c r="C22" s="159">
        <v>6.0</v>
      </c>
      <c r="D22" s="159">
        <v>5.0</v>
      </c>
      <c r="E22" s="160"/>
      <c r="F22" s="161" t="s">
        <v>421</v>
      </c>
      <c r="G22" s="159">
        <v>123.46</v>
      </c>
      <c r="H22" s="159">
        <v>6.0</v>
      </c>
      <c r="I22" s="159">
        <v>5.0</v>
      </c>
      <c r="J22" s="160"/>
      <c r="K22" s="161" t="s">
        <v>421</v>
      </c>
      <c r="L22" s="159">
        <v>133.52</v>
      </c>
      <c r="M22" s="159">
        <v>6.0</v>
      </c>
      <c r="N22" s="159">
        <v>5.0</v>
      </c>
      <c r="O22" s="160"/>
      <c r="P22" s="161" t="s">
        <v>199</v>
      </c>
      <c r="Q22" s="159">
        <v>131.96</v>
      </c>
      <c r="R22" s="159">
        <v>6.0</v>
      </c>
      <c r="S22" s="159">
        <v>5.0</v>
      </c>
      <c r="T22" s="162"/>
      <c r="U22" s="161" t="s">
        <v>341</v>
      </c>
      <c r="V22" s="159">
        <v>7.0</v>
      </c>
      <c r="W22" s="159">
        <v>7.0</v>
      </c>
      <c r="X22" s="163">
        <v>0.5</v>
      </c>
      <c r="Y22" s="163">
        <v>-0.013</v>
      </c>
    </row>
    <row r="23">
      <c r="A23" s="161" t="s">
        <v>420</v>
      </c>
      <c r="B23" s="159">
        <v>133.54</v>
      </c>
      <c r="C23" s="159">
        <v>5.0</v>
      </c>
      <c r="D23" s="159">
        <v>6.0</v>
      </c>
      <c r="E23" s="160"/>
      <c r="F23" s="161" t="s">
        <v>341</v>
      </c>
      <c r="G23" s="159">
        <v>108.22</v>
      </c>
      <c r="H23" s="159">
        <v>5.0</v>
      </c>
      <c r="I23" s="159">
        <v>6.0</v>
      </c>
      <c r="J23" s="160"/>
      <c r="K23" s="161" t="s">
        <v>221</v>
      </c>
      <c r="L23" s="159">
        <v>121.42</v>
      </c>
      <c r="M23" s="159">
        <v>5.0</v>
      </c>
      <c r="N23" s="159">
        <v>6.0</v>
      </c>
      <c r="O23" s="160"/>
      <c r="P23" s="161" t="s">
        <v>596</v>
      </c>
      <c r="Q23" s="159">
        <v>120.22</v>
      </c>
      <c r="R23" s="159">
        <v>5.0</v>
      </c>
      <c r="S23" s="159">
        <v>6.0</v>
      </c>
      <c r="T23" s="162"/>
      <c r="U23" s="161" t="s">
        <v>152</v>
      </c>
      <c r="V23" s="159">
        <v>4.0</v>
      </c>
      <c r="W23" s="159">
        <v>10.0</v>
      </c>
      <c r="X23" s="163">
        <v>0.2857</v>
      </c>
      <c r="Y23" s="169">
        <v>-0.1494</v>
      </c>
    </row>
    <row r="24">
      <c r="A24" s="161" t="s">
        <v>100</v>
      </c>
      <c r="B24" s="159">
        <v>128.4</v>
      </c>
      <c r="C24" s="159">
        <v>4.0</v>
      </c>
      <c r="D24" s="159">
        <v>7.0</v>
      </c>
      <c r="E24" s="160"/>
      <c r="F24" s="161" t="s">
        <v>596</v>
      </c>
      <c r="G24" s="159">
        <v>106.0</v>
      </c>
      <c r="H24" s="159">
        <v>4.0</v>
      </c>
      <c r="I24" s="159">
        <v>7.0</v>
      </c>
      <c r="J24" s="160"/>
      <c r="K24" s="161" t="s">
        <v>152</v>
      </c>
      <c r="L24" s="159">
        <v>120.68</v>
      </c>
      <c r="M24" s="159">
        <v>4.0</v>
      </c>
      <c r="N24" s="159">
        <v>7.0</v>
      </c>
      <c r="O24" s="160"/>
      <c r="P24" s="161" t="s">
        <v>341</v>
      </c>
      <c r="Q24" s="159">
        <v>115.92</v>
      </c>
      <c r="R24" s="159">
        <v>4.0</v>
      </c>
      <c r="S24" s="159">
        <v>7.0</v>
      </c>
      <c r="T24" s="162"/>
      <c r="U24" s="161" t="s">
        <v>596</v>
      </c>
      <c r="V24" s="159">
        <v>4.0</v>
      </c>
      <c r="W24" s="159">
        <v>10.0</v>
      </c>
      <c r="X24" s="163">
        <v>0.2857</v>
      </c>
      <c r="Y24" s="163">
        <v>-0.0519</v>
      </c>
    </row>
    <row r="25">
      <c r="A25" s="161" t="s">
        <v>481</v>
      </c>
      <c r="B25" s="159">
        <v>128.36</v>
      </c>
      <c r="C25" s="159">
        <v>3.0</v>
      </c>
      <c r="D25" s="159">
        <v>8.0</v>
      </c>
      <c r="E25" s="160"/>
      <c r="F25" s="161" t="s">
        <v>152</v>
      </c>
      <c r="G25" s="159">
        <v>102.86</v>
      </c>
      <c r="H25" s="159">
        <v>3.0</v>
      </c>
      <c r="I25" s="159">
        <v>8.0</v>
      </c>
      <c r="J25" s="160"/>
      <c r="K25" s="161" t="s">
        <v>596</v>
      </c>
      <c r="L25" s="159">
        <v>118.62</v>
      </c>
      <c r="M25" s="159">
        <v>3.0</v>
      </c>
      <c r="N25" s="159">
        <v>8.0</v>
      </c>
      <c r="O25" s="160"/>
      <c r="P25" s="161" t="s">
        <v>125</v>
      </c>
      <c r="Q25" s="159">
        <v>115.44</v>
      </c>
      <c r="R25" s="159">
        <v>3.0</v>
      </c>
      <c r="S25" s="159">
        <v>8.0</v>
      </c>
      <c r="T25" s="162"/>
      <c r="U25" s="161" t="s">
        <v>199</v>
      </c>
      <c r="V25" s="159">
        <v>6.0</v>
      </c>
      <c r="W25" s="159">
        <v>8.0</v>
      </c>
      <c r="X25" s="163">
        <v>0.4286</v>
      </c>
      <c r="Y25" s="168">
        <v>0.1039</v>
      </c>
    </row>
    <row r="26">
      <c r="A26" s="161" t="s">
        <v>596</v>
      </c>
      <c r="B26" s="159">
        <v>114.76</v>
      </c>
      <c r="C26" s="159">
        <v>2.0</v>
      </c>
      <c r="D26" s="159">
        <v>9.0</v>
      </c>
      <c r="E26" s="160"/>
      <c r="F26" s="161" t="s">
        <v>199</v>
      </c>
      <c r="G26" s="159">
        <v>92.2</v>
      </c>
      <c r="I26" s="159">
        <v>9.0</v>
      </c>
      <c r="J26" s="160"/>
      <c r="K26" s="161" t="s">
        <v>341</v>
      </c>
      <c r="L26" s="159">
        <v>106.74</v>
      </c>
      <c r="M26" s="159">
        <v>2.0</v>
      </c>
      <c r="N26" s="159">
        <v>9.0</v>
      </c>
      <c r="O26" s="160"/>
      <c r="P26" s="161" t="s">
        <v>221</v>
      </c>
      <c r="Q26" s="159">
        <v>93.62</v>
      </c>
      <c r="R26" s="159">
        <v>2.0</v>
      </c>
      <c r="S26" s="159">
        <v>9.0</v>
      </c>
      <c r="T26" s="162"/>
      <c r="U26" s="161" t="s">
        <v>420</v>
      </c>
      <c r="V26" s="159">
        <v>2.0</v>
      </c>
      <c r="W26" s="159">
        <v>12.0</v>
      </c>
      <c r="X26" s="163">
        <v>0.1429</v>
      </c>
      <c r="Y26" s="169">
        <v>-0.1688</v>
      </c>
    </row>
    <row r="27">
      <c r="A27" s="161" t="s">
        <v>125</v>
      </c>
      <c r="B27" s="159">
        <v>108.12</v>
      </c>
      <c r="C27" s="159">
        <v>1.0</v>
      </c>
      <c r="D27" s="159">
        <v>10.0</v>
      </c>
      <c r="E27" s="160"/>
      <c r="F27" s="161" t="s">
        <v>420</v>
      </c>
      <c r="G27" s="159">
        <v>85.24</v>
      </c>
      <c r="H27" s="159">
        <v>1.0</v>
      </c>
      <c r="I27" s="159">
        <v>10.0</v>
      </c>
      <c r="J27" s="160"/>
      <c r="K27" s="161" t="s">
        <v>199</v>
      </c>
      <c r="L27" s="159">
        <v>102.04</v>
      </c>
      <c r="M27" s="159">
        <v>1.0</v>
      </c>
      <c r="N27" s="159">
        <v>10.0</v>
      </c>
      <c r="O27" s="160"/>
      <c r="P27" s="161" t="s">
        <v>245</v>
      </c>
      <c r="Q27" s="159">
        <v>80.2</v>
      </c>
      <c r="R27" s="159">
        <v>1.0</v>
      </c>
      <c r="S27" s="159">
        <v>10.0</v>
      </c>
      <c r="T27" s="162"/>
      <c r="U27" s="161" t="s">
        <v>125</v>
      </c>
      <c r="V27" s="159">
        <v>3.0</v>
      </c>
      <c r="W27" s="159">
        <v>11.0</v>
      </c>
      <c r="X27" s="163">
        <v>0.2143</v>
      </c>
      <c r="Y27" s="163">
        <v>-0.0649</v>
      </c>
    </row>
    <row r="28">
      <c r="A28" s="161" t="s">
        <v>199</v>
      </c>
      <c r="B28" s="159">
        <v>102.4</v>
      </c>
      <c r="C28" s="159">
        <v>0.0</v>
      </c>
      <c r="D28" s="159">
        <v>11.0</v>
      </c>
      <c r="E28" s="160"/>
      <c r="F28" s="161" t="s">
        <v>125</v>
      </c>
      <c r="G28" s="159">
        <v>73.32</v>
      </c>
      <c r="H28" s="159">
        <v>0.0</v>
      </c>
      <c r="I28" s="159">
        <v>11.0</v>
      </c>
      <c r="J28" s="160"/>
      <c r="K28" s="161" t="s">
        <v>245</v>
      </c>
      <c r="L28" s="159">
        <v>93.5</v>
      </c>
      <c r="M28" s="159">
        <v>0.0</v>
      </c>
      <c r="N28" s="159">
        <v>11.0</v>
      </c>
      <c r="O28" s="160"/>
      <c r="P28" s="161" t="s">
        <v>420</v>
      </c>
      <c r="Q28" s="159">
        <v>65.88</v>
      </c>
      <c r="R28" s="159">
        <v>0.0</v>
      </c>
      <c r="S28" s="159">
        <v>11.0</v>
      </c>
      <c r="T28" s="162"/>
      <c r="U28" s="162"/>
      <c r="V28" s="162"/>
      <c r="W28" s="162"/>
      <c r="X28" s="166"/>
      <c r="Y28" s="166"/>
    </row>
    <row r="29">
      <c r="A29" s="162"/>
      <c r="B29" s="162"/>
      <c r="C29" s="162"/>
      <c r="D29" s="166"/>
      <c r="E29" s="160"/>
      <c r="F29" s="162"/>
      <c r="G29" s="162"/>
      <c r="H29" s="162"/>
      <c r="I29" s="162"/>
      <c r="J29" s="160"/>
      <c r="K29" s="162"/>
      <c r="L29" s="162"/>
      <c r="M29" s="162"/>
      <c r="N29" s="162"/>
      <c r="O29" s="160"/>
      <c r="P29" s="162"/>
      <c r="Q29" s="162"/>
      <c r="R29" s="162"/>
      <c r="S29" s="162"/>
      <c r="T29" s="162"/>
      <c r="U29" s="162"/>
      <c r="V29" s="162"/>
      <c r="W29" s="162"/>
      <c r="X29" s="166"/>
      <c r="Y29" s="166"/>
    </row>
    <row r="30">
      <c r="A30" s="162"/>
      <c r="B30" s="162"/>
      <c r="C30" s="162"/>
      <c r="D30" s="166"/>
      <c r="E30" s="160"/>
      <c r="F30" s="162"/>
      <c r="G30" s="162"/>
      <c r="H30" s="162"/>
      <c r="I30" s="162"/>
      <c r="J30" s="160"/>
      <c r="K30" s="162"/>
      <c r="L30" s="162"/>
      <c r="M30" s="162"/>
      <c r="N30" s="162"/>
      <c r="O30" s="160"/>
      <c r="P30" s="162"/>
      <c r="Q30" s="162"/>
      <c r="R30" s="162"/>
      <c r="S30" s="162"/>
      <c r="T30" s="162"/>
      <c r="U30" s="162"/>
      <c r="V30" s="162"/>
      <c r="W30" s="162"/>
      <c r="X30" s="166"/>
      <c r="Y30" s="166"/>
    </row>
    <row r="31">
      <c r="A31" s="161" t="s">
        <v>506</v>
      </c>
      <c r="B31" s="159" t="s">
        <v>590</v>
      </c>
      <c r="C31" s="159" t="s">
        <v>591</v>
      </c>
      <c r="D31" s="159" t="s">
        <v>592</v>
      </c>
      <c r="E31" s="160"/>
      <c r="F31" s="161" t="s">
        <v>505</v>
      </c>
      <c r="G31" s="159" t="s">
        <v>590</v>
      </c>
      <c r="H31" s="159" t="s">
        <v>591</v>
      </c>
      <c r="I31" s="159" t="s">
        <v>592</v>
      </c>
      <c r="J31" s="160"/>
      <c r="K31" s="161" t="s">
        <v>504</v>
      </c>
      <c r="L31" s="159" t="s">
        <v>590</v>
      </c>
      <c r="M31" s="159" t="s">
        <v>591</v>
      </c>
      <c r="N31" s="159" t="s">
        <v>592</v>
      </c>
      <c r="O31" s="160"/>
      <c r="P31" s="161" t="s">
        <v>503</v>
      </c>
      <c r="Q31" s="159" t="s">
        <v>590</v>
      </c>
      <c r="R31" s="159" t="s">
        <v>591</v>
      </c>
      <c r="S31" s="159" t="s">
        <v>592</v>
      </c>
      <c r="T31" s="162"/>
      <c r="U31" s="162"/>
      <c r="V31" s="162"/>
      <c r="W31" s="162"/>
      <c r="X31" s="166"/>
      <c r="Y31" s="166"/>
    </row>
    <row r="32">
      <c r="A32" s="161" t="s">
        <v>221</v>
      </c>
      <c r="B32" s="159">
        <v>167.4</v>
      </c>
      <c r="C32" s="159">
        <v>11.0</v>
      </c>
      <c r="D32" s="159">
        <v>0.0</v>
      </c>
      <c r="E32" s="160"/>
      <c r="F32" s="161" t="s">
        <v>481</v>
      </c>
      <c r="G32" s="159">
        <v>188.46</v>
      </c>
      <c r="H32" s="159">
        <v>11.0</v>
      </c>
      <c r="I32" s="159">
        <v>0.0</v>
      </c>
      <c r="J32" s="160"/>
      <c r="K32" s="161" t="s">
        <v>481</v>
      </c>
      <c r="L32" s="159">
        <v>153.24</v>
      </c>
      <c r="M32" s="159">
        <v>11.0</v>
      </c>
      <c r="N32" s="159">
        <v>0.0</v>
      </c>
      <c r="O32" s="160"/>
      <c r="P32" s="161" t="s">
        <v>174</v>
      </c>
      <c r="Q32" s="159">
        <v>189.9</v>
      </c>
      <c r="R32" s="159">
        <v>11.0</v>
      </c>
      <c r="S32" s="159">
        <v>0.0</v>
      </c>
      <c r="T32" s="162"/>
      <c r="U32" s="162"/>
      <c r="V32" s="162"/>
      <c r="W32" s="162"/>
      <c r="X32" s="166"/>
      <c r="Y32" s="166"/>
    </row>
    <row r="33">
      <c r="A33" s="161" t="s">
        <v>245</v>
      </c>
      <c r="B33" s="159">
        <v>164.72</v>
      </c>
      <c r="C33" s="159">
        <v>10.0</v>
      </c>
      <c r="D33" s="159">
        <v>1.0</v>
      </c>
      <c r="E33" s="160"/>
      <c r="F33" s="161" t="s">
        <v>245</v>
      </c>
      <c r="G33" s="159">
        <v>149.34</v>
      </c>
      <c r="H33" s="159">
        <v>10.0</v>
      </c>
      <c r="I33" s="159">
        <v>1.0</v>
      </c>
      <c r="J33" s="160"/>
      <c r="K33" s="161" t="s">
        <v>421</v>
      </c>
      <c r="L33" s="159">
        <v>133.66</v>
      </c>
      <c r="M33" s="159">
        <v>10.0</v>
      </c>
      <c r="N33" s="159">
        <v>1.0</v>
      </c>
      <c r="O33" s="160"/>
      <c r="P33" s="161" t="s">
        <v>481</v>
      </c>
      <c r="Q33" s="159">
        <v>162.56</v>
      </c>
      <c r="R33" s="159">
        <v>10.0</v>
      </c>
      <c r="S33" s="159">
        <v>1.0</v>
      </c>
      <c r="T33" s="162"/>
      <c r="U33" s="162"/>
      <c r="V33" s="162"/>
      <c r="W33" s="162"/>
      <c r="X33" s="166"/>
      <c r="Y33" s="166"/>
    </row>
    <row r="34">
      <c r="A34" s="161" t="s">
        <v>421</v>
      </c>
      <c r="B34" s="159">
        <v>149.4</v>
      </c>
      <c r="C34" s="159">
        <v>9.0</v>
      </c>
      <c r="D34" s="159">
        <v>2.0</v>
      </c>
      <c r="E34" s="160"/>
      <c r="F34" s="161" t="s">
        <v>100</v>
      </c>
      <c r="G34" s="159">
        <v>141.12</v>
      </c>
      <c r="H34" s="159">
        <v>9.0</v>
      </c>
      <c r="I34" s="159">
        <v>2.0</v>
      </c>
      <c r="J34" s="160"/>
      <c r="K34" s="161" t="s">
        <v>174</v>
      </c>
      <c r="L34" s="159">
        <v>127.86</v>
      </c>
      <c r="M34" s="159">
        <v>9.0</v>
      </c>
      <c r="N34" s="159">
        <v>2.0</v>
      </c>
      <c r="O34" s="160"/>
      <c r="P34" s="161" t="s">
        <v>245</v>
      </c>
      <c r="Q34" s="159">
        <v>138.78</v>
      </c>
      <c r="R34" s="159">
        <v>9.0</v>
      </c>
      <c r="S34" s="159">
        <v>2.0</v>
      </c>
      <c r="T34" s="162"/>
      <c r="U34" s="162"/>
      <c r="V34" s="162"/>
      <c r="W34" s="162"/>
      <c r="X34" s="166"/>
      <c r="Y34" s="166"/>
    </row>
    <row r="35">
      <c r="A35" s="161" t="s">
        <v>481</v>
      </c>
      <c r="B35" s="159">
        <v>146.2</v>
      </c>
      <c r="C35" s="159">
        <v>8.0</v>
      </c>
      <c r="D35" s="159">
        <v>3.0</v>
      </c>
      <c r="E35" s="160"/>
      <c r="F35" s="161" t="s">
        <v>596</v>
      </c>
      <c r="G35" s="159">
        <v>131.08</v>
      </c>
      <c r="H35" s="159">
        <v>8.0</v>
      </c>
      <c r="I35" s="159">
        <v>3.0</v>
      </c>
      <c r="J35" s="160"/>
      <c r="K35" s="161" t="s">
        <v>245</v>
      </c>
      <c r="L35" s="159">
        <v>126.7</v>
      </c>
      <c r="M35" s="159">
        <v>8.0</v>
      </c>
      <c r="N35" s="159">
        <v>3.0</v>
      </c>
      <c r="O35" s="160"/>
      <c r="P35" s="161" t="s">
        <v>199</v>
      </c>
      <c r="Q35" s="159">
        <v>137.0</v>
      </c>
      <c r="R35" s="159">
        <v>8.0</v>
      </c>
      <c r="S35" s="159">
        <v>3.0</v>
      </c>
      <c r="T35" s="162"/>
      <c r="U35" s="162"/>
      <c r="V35" s="162"/>
      <c r="W35" s="162"/>
      <c r="X35" s="166"/>
      <c r="Y35" s="166"/>
    </row>
    <row r="36">
      <c r="A36" s="161" t="s">
        <v>100</v>
      </c>
      <c r="B36" s="159">
        <v>138.0</v>
      </c>
      <c r="C36" s="159">
        <v>7.0</v>
      </c>
      <c r="D36" s="159">
        <v>4.0</v>
      </c>
      <c r="E36" s="160"/>
      <c r="F36" s="161" t="s">
        <v>152</v>
      </c>
      <c r="G36" s="159">
        <v>127.82</v>
      </c>
      <c r="H36" s="159">
        <v>7.0</v>
      </c>
      <c r="I36" s="159">
        <v>4.0</v>
      </c>
      <c r="J36" s="160"/>
      <c r="K36" s="161" t="s">
        <v>221</v>
      </c>
      <c r="L36" s="159">
        <v>124.92</v>
      </c>
      <c r="M36" s="159">
        <v>7.0</v>
      </c>
      <c r="N36" s="159">
        <v>4.0</v>
      </c>
      <c r="O36" s="160"/>
      <c r="P36" s="161" t="s">
        <v>100</v>
      </c>
      <c r="Q36" s="159">
        <v>128.06</v>
      </c>
      <c r="R36" s="159">
        <v>7.0</v>
      </c>
      <c r="S36" s="159">
        <v>4.0</v>
      </c>
      <c r="T36" s="162"/>
      <c r="U36" s="162"/>
      <c r="V36" s="162"/>
      <c r="W36" s="162"/>
      <c r="X36" s="166"/>
      <c r="Y36" s="166"/>
    </row>
    <row r="37">
      <c r="A37" s="161" t="s">
        <v>199</v>
      </c>
      <c r="B37" s="159">
        <v>137.26</v>
      </c>
      <c r="C37" s="159">
        <v>6.0</v>
      </c>
      <c r="D37" s="159">
        <v>5.0</v>
      </c>
      <c r="E37" s="160"/>
      <c r="F37" s="161" t="s">
        <v>221</v>
      </c>
      <c r="G37" s="159">
        <v>121.08</v>
      </c>
      <c r="H37" s="159">
        <v>6.0</v>
      </c>
      <c r="I37" s="159">
        <v>5.0</v>
      </c>
      <c r="J37" s="160"/>
      <c r="K37" s="161" t="s">
        <v>420</v>
      </c>
      <c r="L37" s="159">
        <v>113.52</v>
      </c>
      <c r="M37" s="159">
        <v>6.0</v>
      </c>
      <c r="N37" s="159">
        <v>5.0</v>
      </c>
      <c r="O37" s="160"/>
      <c r="P37" s="161" t="s">
        <v>421</v>
      </c>
      <c r="Q37" s="159">
        <v>124.44</v>
      </c>
      <c r="R37" s="159">
        <v>6.0</v>
      </c>
      <c r="S37" s="159">
        <v>5.0</v>
      </c>
      <c r="T37" s="162"/>
      <c r="U37" s="162"/>
      <c r="V37" s="162"/>
      <c r="W37" s="162"/>
      <c r="X37" s="166"/>
      <c r="Y37" s="166"/>
    </row>
    <row r="38">
      <c r="A38" s="161" t="s">
        <v>420</v>
      </c>
      <c r="B38" s="159">
        <v>129.8</v>
      </c>
      <c r="C38" s="159">
        <v>5.0</v>
      </c>
      <c r="D38" s="159">
        <v>6.0</v>
      </c>
      <c r="E38" s="160"/>
      <c r="F38" s="161" t="s">
        <v>341</v>
      </c>
      <c r="G38" s="159">
        <v>120.86</v>
      </c>
      <c r="H38" s="159">
        <v>5.0</v>
      </c>
      <c r="I38" s="159">
        <v>6.0</v>
      </c>
      <c r="J38" s="160"/>
      <c r="K38" s="161" t="s">
        <v>596</v>
      </c>
      <c r="L38" s="159">
        <v>102.24</v>
      </c>
      <c r="M38" s="159">
        <v>5.0</v>
      </c>
      <c r="N38" s="159">
        <v>6.0</v>
      </c>
      <c r="O38" s="160"/>
      <c r="P38" s="161" t="s">
        <v>221</v>
      </c>
      <c r="Q38" s="159">
        <v>121.38</v>
      </c>
      <c r="R38" s="159">
        <v>5.0</v>
      </c>
      <c r="S38" s="159">
        <v>6.0</v>
      </c>
      <c r="T38" s="162"/>
      <c r="U38" s="162"/>
      <c r="V38" s="162"/>
      <c r="W38" s="162"/>
      <c r="X38" s="166"/>
      <c r="Y38" s="166"/>
    </row>
    <row r="39">
      <c r="A39" s="161" t="s">
        <v>174</v>
      </c>
      <c r="B39" s="159">
        <v>129.22</v>
      </c>
      <c r="C39" s="159">
        <v>4.0</v>
      </c>
      <c r="D39" s="159">
        <v>7.0</v>
      </c>
      <c r="E39" s="160"/>
      <c r="F39" s="161" t="s">
        <v>421</v>
      </c>
      <c r="G39" s="159">
        <v>119.3</v>
      </c>
      <c r="H39" s="159">
        <v>4.0</v>
      </c>
      <c r="I39" s="159">
        <v>7.0</v>
      </c>
      <c r="J39" s="160"/>
      <c r="K39" s="161" t="s">
        <v>199</v>
      </c>
      <c r="L39" s="159">
        <v>101.2</v>
      </c>
      <c r="M39" s="159">
        <v>4.0</v>
      </c>
      <c r="N39" s="159">
        <v>7.0</v>
      </c>
      <c r="O39" s="160"/>
      <c r="P39" s="161" t="s">
        <v>125</v>
      </c>
      <c r="Q39" s="159">
        <v>120.48</v>
      </c>
      <c r="R39" s="159">
        <v>4.0</v>
      </c>
      <c r="S39" s="159">
        <v>7.0</v>
      </c>
      <c r="T39" s="162"/>
      <c r="U39" s="162"/>
      <c r="V39" s="162"/>
      <c r="W39" s="162"/>
      <c r="X39" s="166"/>
      <c r="Y39" s="166"/>
    </row>
    <row r="40">
      <c r="A40" s="161" t="s">
        <v>125</v>
      </c>
      <c r="B40" s="159">
        <v>115.3</v>
      </c>
      <c r="C40" s="159">
        <v>3.0</v>
      </c>
      <c r="D40" s="159">
        <v>8.0</v>
      </c>
      <c r="E40" s="160"/>
      <c r="F40" s="161" t="s">
        <v>174</v>
      </c>
      <c r="G40" s="159">
        <v>115.92</v>
      </c>
      <c r="H40" s="159">
        <v>3.0</v>
      </c>
      <c r="I40" s="159">
        <v>8.0</v>
      </c>
      <c r="J40" s="160"/>
      <c r="K40" s="161" t="s">
        <v>341</v>
      </c>
      <c r="L40" s="159">
        <v>100.54</v>
      </c>
      <c r="M40" s="159">
        <v>3.0</v>
      </c>
      <c r="N40" s="159">
        <v>8.0</v>
      </c>
      <c r="O40" s="160"/>
      <c r="P40" s="161" t="s">
        <v>341</v>
      </c>
      <c r="Q40" s="159">
        <v>110.26</v>
      </c>
      <c r="R40" s="159">
        <v>3.0</v>
      </c>
      <c r="S40" s="159">
        <v>8.0</v>
      </c>
      <c r="T40" s="162"/>
      <c r="U40" s="162"/>
      <c r="V40" s="162"/>
      <c r="W40" s="162"/>
      <c r="X40" s="166"/>
      <c r="Y40" s="166"/>
    </row>
    <row r="41">
      <c r="A41" s="161" t="s">
        <v>596</v>
      </c>
      <c r="B41" s="159">
        <v>111.9</v>
      </c>
      <c r="C41" s="159">
        <v>2.0</v>
      </c>
      <c r="D41" s="159">
        <v>9.0</v>
      </c>
      <c r="E41" s="160"/>
      <c r="F41" s="161" t="s">
        <v>125</v>
      </c>
      <c r="G41" s="159">
        <v>110.12</v>
      </c>
      <c r="H41" s="159">
        <v>2.0</v>
      </c>
      <c r="I41" s="159">
        <v>9.0</v>
      </c>
      <c r="J41" s="160"/>
      <c r="K41" s="161" t="s">
        <v>100</v>
      </c>
      <c r="L41" s="159">
        <v>96.66</v>
      </c>
      <c r="M41" s="159">
        <v>2.0</v>
      </c>
      <c r="N41" s="159">
        <v>9.0</v>
      </c>
      <c r="O41" s="160"/>
      <c r="P41" s="161" t="s">
        <v>420</v>
      </c>
      <c r="Q41" s="159">
        <v>99.06</v>
      </c>
      <c r="R41" s="159">
        <v>2.0</v>
      </c>
      <c r="S41" s="159">
        <v>9.0</v>
      </c>
      <c r="T41" s="162"/>
      <c r="U41" s="162"/>
      <c r="V41" s="162"/>
      <c r="W41" s="162"/>
      <c r="X41" s="166"/>
      <c r="Y41" s="166"/>
    </row>
    <row r="42">
      <c r="A42" s="161" t="s">
        <v>341</v>
      </c>
      <c r="B42" s="159">
        <v>88.72</v>
      </c>
      <c r="C42" s="159">
        <v>1.0</v>
      </c>
      <c r="D42" s="159">
        <v>10.0</v>
      </c>
      <c r="E42" s="160"/>
      <c r="F42" s="161" t="s">
        <v>420</v>
      </c>
      <c r="G42" s="159">
        <v>107.46</v>
      </c>
      <c r="H42" s="159">
        <v>1.0</v>
      </c>
      <c r="I42" s="159">
        <v>10.0</v>
      </c>
      <c r="J42" s="160"/>
      <c r="K42" s="161" t="s">
        <v>125</v>
      </c>
      <c r="L42" s="159">
        <v>80.6</v>
      </c>
      <c r="M42" s="159">
        <v>1.0</v>
      </c>
      <c r="N42" s="159">
        <v>10.0</v>
      </c>
      <c r="O42" s="160"/>
      <c r="P42" s="161" t="s">
        <v>152</v>
      </c>
      <c r="Q42" s="159">
        <v>92.88</v>
      </c>
      <c r="R42" s="159">
        <v>1.0</v>
      </c>
      <c r="S42" s="159">
        <v>10.0</v>
      </c>
      <c r="T42" s="162"/>
      <c r="U42" s="162"/>
      <c r="V42" s="162"/>
      <c r="W42" s="162"/>
      <c r="X42" s="166"/>
      <c r="Y42" s="166"/>
    </row>
    <row r="43">
      <c r="A43" s="161" t="s">
        <v>152</v>
      </c>
      <c r="B43" s="159">
        <v>69.5</v>
      </c>
      <c r="C43" s="159">
        <v>0.0</v>
      </c>
      <c r="D43" s="159">
        <v>11.0</v>
      </c>
      <c r="E43" s="160"/>
      <c r="F43" s="161" t="s">
        <v>199</v>
      </c>
      <c r="G43" s="159">
        <v>87.1</v>
      </c>
      <c r="H43" s="159">
        <v>0.0</v>
      </c>
      <c r="I43" s="159">
        <v>11.0</v>
      </c>
      <c r="J43" s="160"/>
      <c r="K43" s="161" t="s">
        <v>152</v>
      </c>
      <c r="L43" s="159">
        <v>72.1</v>
      </c>
      <c r="M43" s="159">
        <v>0.0</v>
      </c>
      <c r="N43" s="159">
        <v>11.0</v>
      </c>
      <c r="O43" s="160"/>
      <c r="P43" s="161" t="s">
        <v>596</v>
      </c>
      <c r="Q43" s="159">
        <v>87.32</v>
      </c>
      <c r="R43" s="159">
        <v>0.0</v>
      </c>
      <c r="S43" s="159">
        <v>11.0</v>
      </c>
      <c r="T43" s="162"/>
      <c r="U43" s="162"/>
      <c r="V43" s="162"/>
      <c r="W43" s="162"/>
      <c r="X43" s="166"/>
      <c r="Y43" s="166"/>
    </row>
    <row r="44">
      <c r="A44" s="162"/>
      <c r="B44" s="162"/>
      <c r="C44" s="162"/>
      <c r="D44" s="166"/>
      <c r="E44" s="160"/>
      <c r="F44" s="162"/>
      <c r="G44" s="162"/>
      <c r="H44" s="162"/>
      <c r="I44" s="162"/>
      <c r="J44" s="160"/>
      <c r="K44" s="162"/>
      <c r="L44" s="162"/>
      <c r="M44" s="162"/>
      <c r="N44" s="162"/>
      <c r="O44" s="160"/>
      <c r="P44" s="162"/>
      <c r="Q44" s="162"/>
      <c r="R44" s="162"/>
      <c r="S44" s="162"/>
      <c r="T44" s="162"/>
      <c r="U44" s="162"/>
      <c r="V44" s="162"/>
      <c r="W44" s="162"/>
      <c r="X44" s="166"/>
      <c r="Y44" s="166"/>
    </row>
    <row r="45">
      <c r="A45" s="162"/>
      <c r="B45" s="162"/>
      <c r="C45" s="162"/>
      <c r="D45" s="166"/>
      <c r="E45" s="160"/>
      <c r="F45" s="162"/>
      <c r="G45" s="162"/>
      <c r="H45" s="162"/>
      <c r="I45" s="162"/>
      <c r="J45" s="160"/>
      <c r="K45" s="162"/>
      <c r="L45" s="162"/>
      <c r="M45" s="162"/>
      <c r="N45" s="162"/>
      <c r="O45" s="160"/>
      <c r="P45" s="162"/>
      <c r="Q45" s="162"/>
      <c r="R45" s="162"/>
      <c r="S45" s="162"/>
      <c r="T45" s="162"/>
      <c r="U45" s="162"/>
      <c r="V45" s="162"/>
      <c r="W45" s="162"/>
      <c r="X45" s="166"/>
      <c r="Y45" s="166"/>
    </row>
    <row r="46">
      <c r="A46" s="161" t="s">
        <v>481</v>
      </c>
      <c r="B46" s="159">
        <v>164.92</v>
      </c>
      <c r="C46" s="159">
        <v>11.0</v>
      </c>
      <c r="D46" s="159">
        <v>0.0</v>
      </c>
      <c r="E46" s="160"/>
      <c r="F46" s="161" t="s">
        <v>500</v>
      </c>
      <c r="G46" s="159" t="s">
        <v>590</v>
      </c>
      <c r="H46" s="159" t="s">
        <v>591</v>
      </c>
      <c r="I46" s="159" t="s">
        <v>592</v>
      </c>
      <c r="J46" s="160"/>
      <c r="K46" s="162"/>
      <c r="L46" s="162"/>
      <c r="M46" s="162"/>
      <c r="N46" s="162"/>
      <c r="O46" s="160"/>
      <c r="P46" s="162"/>
      <c r="Q46" s="162"/>
      <c r="R46" s="162"/>
      <c r="S46" s="162"/>
      <c r="T46" s="162"/>
      <c r="U46" s="162"/>
      <c r="V46" s="162"/>
      <c r="W46" s="162"/>
      <c r="X46" s="166"/>
      <c r="Y46" s="166"/>
    </row>
    <row r="47">
      <c r="A47" s="161" t="s">
        <v>221</v>
      </c>
      <c r="B47" s="159">
        <v>145.34</v>
      </c>
      <c r="C47" s="159">
        <v>10.0</v>
      </c>
      <c r="D47" s="159">
        <v>1.0</v>
      </c>
      <c r="E47" s="160"/>
      <c r="F47" s="161" t="s">
        <v>481</v>
      </c>
      <c r="G47" s="159">
        <v>191.36</v>
      </c>
      <c r="H47" s="159">
        <v>11.0</v>
      </c>
      <c r="I47" s="159">
        <v>0.0</v>
      </c>
      <c r="J47" s="160"/>
      <c r="K47" s="162"/>
      <c r="L47" s="162"/>
      <c r="M47" s="162"/>
      <c r="N47" s="162"/>
      <c r="O47" s="160"/>
      <c r="P47" s="162"/>
      <c r="Q47" s="162"/>
      <c r="R47" s="162"/>
      <c r="S47" s="162"/>
      <c r="T47" s="162"/>
      <c r="U47" s="162"/>
      <c r="V47" s="162"/>
      <c r="W47" s="162"/>
      <c r="X47" s="166"/>
      <c r="Y47" s="166"/>
    </row>
    <row r="48">
      <c r="A48" s="161" t="s">
        <v>421</v>
      </c>
      <c r="B48" s="159">
        <v>126.66</v>
      </c>
      <c r="C48" s="159">
        <v>9.0</v>
      </c>
      <c r="D48" s="159">
        <v>2.0</v>
      </c>
      <c r="E48" s="160"/>
      <c r="F48" s="161" t="s">
        <v>174</v>
      </c>
      <c r="G48" s="159">
        <v>132.14</v>
      </c>
      <c r="H48" s="159">
        <v>10.0</v>
      </c>
      <c r="I48" s="159">
        <v>1.0</v>
      </c>
      <c r="J48" s="160"/>
      <c r="K48" s="162"/>
      <c r="L48" s="162"/>
      <c r="M48" s="162"/>
      <c r="N48" s="162"/>
      <c r="O48" s="160"/>
      <c r="P48" s="162"/>
      <c r="Q48" s="162"/>
      <c r="R48" s="162"/>
      <c r="S48" s="162"/>
      <c r="T48" s="162"/>
      <c r="U48" s="162"/>
      <c r="V48" s="162"/>
      <c r="W48" s="162"/>
      <c r="X48" s="166"/>
      <c r="Y48" s="166"/>
    </row>
    <row r="49">
      <c r="A49" s="161" t="s">
        <v>100</v>
      </c>
      <c r="B49" s="159">
        <v>122.24</v>
      </c>
      <c r="C49" s="159">
        <v>8.0</v>
      </c>
      <c r="D49" s="159">
        <v>3.0</v>
      </c>
      <c r="E49" s="160"/>
      <c r="F49" s="161" t="s">
        <v>596</v>
      </c>
      <c r="G49" s="159">
        <v>132.1</v>
      </c>
      <c r="H49" s="159">
        <v>9.0</v>
      </c>
      <c r="I49" s="159">
        <v>2.0</v>
      </c>
      <c r="J49" s="160"/>
      <c r="K49" s="162"/>
      <c r="L49" s="162"/>
      <c r="M49" s="162"/>
      <c r="N49" s="162"/>
      <c r="O49" s="160"/>
      <c r="P49" s="162"/>
      <c r="Q49" s="162"/>
      <c r="R49" s="162"/>
      <c r="S49" s="162"/>
      <c r="T49" s="162"/>
      <c r="U49" s="162"/>
      <c r="V49" s="162"/>
      <c r="W49" s="162"/>
      <c r="X49" s="166"/>
      <c r="Y49" s="166"/>
    </row>
    <row r="50">
      <c r="A50" s="161" t="s">
        <v>596</v>
      </c>
      <c r="B50" s="159">
        <v>117.28</v>
      </c>
      <c r="C50" s="159">
        <v>7.0</v>
      </c>
      <c r="D50" s="159">
        <v>4.0</v>
      </c>
      <c r="E50" s="160"/>
      <c r="F50" s="161" t="s">
        <v>221</v>
      </c>
      <c r="G50" s="159">
        <v>121.5</v>
      </c>
      <c r="H50" s="159">
        <v>8.0</v>
      </c>
      <c r="I50" s="159">
        <v>3.0</v>
      </c>
      <c r="J50" s="160"/>
      <c r="K50" s="162"/>
      <c r="L50" s="162"/>
      <c r="M50" s="162"/>
      <c r="N50" s="162"/>
      <c r="O50" s="160"/>
      <c r="P50" s="162"/>
      <c r="Q50" s="162"/>
      <c r="R50" s="162"/>
      <c r="S50" s="162"/>
      <c r="T50" s="162"/>
      <c r="U50" s="162"/>
      <c r="V50" s="162"/>
      <c r="W50" s="162"/>
      <c r="X50" s="166"/>
      <c r="Y50" s="166"/>
    </row>
    <row r="51">
      <c r="A51" s="161" t="s">
        <v>341</v>
      </c>
      <c r="B51" s="159">
        <v>112.18</v>
      </c>
      <c r="C51" s="159">
        <v>6.0</v>
      </c>
      <c r="D51" s="159">
        <v>5.0</v>
      </c>
      <c r="E51" s="160"/>
      <c r="F51" s="161" t="s">
        <v>245</v>
      </c>
      <c r="G51" s="159">
        <v>116.72</v>
      </c>
      <c r="H51" s="159">
        <v>7.0</v>
      </c>
      <c r="I51" s="159">
        <v>4.0</v>
      </c>
      <c r="J51" s="160"/>
      <c r="K51" s="162"/>
      <c r="L51" s="162"/>
      <c r="M51" s="162"/>
      <c r="N51" s="162"/>
      <c r="O51" s="160"/>
      <c r="P51" s="162"/>
      <c r="Q51" s="162"/>
      <c r="R51" s="162"/>
      <c r="S51" s="162"/>
      <c r="T51" s="162"/>
      <c r="U51" s="162"/>
      <c r="V51" s="162"/>
      <c r="W51" s="162"/>
      <c r="X51" s="166"/>
      <c r="Y51" s="166"/>
    </row>
    <row r="52">
      <c r="A52" s="161" t="s">
        <v>152</v>
      </c>
      <c r="B52" s="159">
        <v>110.38</v>
      </c>
      <c r="C52" s="159">
        <v>5.0</v>
      </c>
      <c r="D52" s="159">
        <v>6.0</v>
      </c>
      <c r="E52" s="160"/>
      <c r="F52" s="161" t="s">
        <v>341</v>
      </c>
      <c r="G52" s="159">
        <v>108.1</v>
      </c>
      <c r="H52" s="159">
        <v>6.0</v>
      </c>
      <c r="I52" s="159">
        <v>5.0</v>
      </c>
      <c r="J52" s="160"/>
      <c r="K52" s="162"/>
      <c r="L52" s="162"/>
      <c r="M52" s="162"/>
      <c r="N52" s="162"/>
      <c r="O52" s="160"/>
      <c r="P52" s="162"/>
      <c r="Q52" s="162"/>
      <c r="R52" s="162"/>
      <c r="S52" s="162"/>
      <c r="T52" s="162"/>
      <c r="U52" s="162"/>
      <c r="V52" s="162"/>
      <c r="W52" s="162"/>
      <c r="X52" s="166"/>
      <c r="Y52" s="166"/>
    </row>
    <row r="53">
      <c r="A53" s="161" t="s">
        <v>245</v>
      </c>
      <c r="B53" s="159">
        <v>98.68</v>
      </c>
      <c r="C53" s="159">
        <v>4.0</v>
      </c>
      <c r="D53" s="159">
        <v>7.0</v>
      </c>
      <c r="E53" s="160"/>
      <c r="F53" s="161" t="s">
        <v>199</v>
      </c>
      <c r="G53" s="159">
        <v>108.02</v>
      </c>
      <c r="H53" s="159">
        <v>5.0</v>
      </c>
      <c r="I53" s="159">
        <v>6.0</v>
      </c>
      <c r="J53" s="160"/>
      <c r="K53" s="162"/>
      <c r="L53" s="162"/>
      <c r="M53" s="162"/>
      <c r="N53" s="162"/>
      <c r="O53" s="160"/>
      <c r="P53" s="162"/>
      <c r="Q53" s="162"/>
      <c r="R53" s="162"/>
      <c r="S53" s="162"/>
      <c r="T53" s="162"/>
      <c r="U53" s="162"/>
      <c r="V53" s="162"/>
      <c r="W53" s="162"/>
      <c r="X53" s="166"/>
      <c r="Y53" s="166"/>
    </row>
    <row r="54">
      <c r="A54" s="161" t="s">
        <v>125</v>
      </c>
      <c r="B54" s="159">
        <v>93.86</v>
      </c>
      <c r="C54" s="159">
        <v>3.0</v>
      </c>
      <c r="D54" s="159">
        <v>8.0</v>
      </c>
      <c r="E54" s="160"/>
      <c r="F54" s="161" t="s">
        <v>420</v>
      </c>
      <c r="G54" s="159">
        <v>107.52</v>
      </c>
      <c r="H54" s="159">
        <v>4.0</v>
      </c>
      <c r="I54" s="159">
        <v>7.0</v>
      </c>
      <c r="J54" s="160"/>
      <c r="K54" s="162"/>
      <c r="L54" s="162"/>
      <c r="M54" s="162"/>
      <c r="N54" s="162"/>
      <c r="O54" s="160"/>
      <c r="P54" s="162"/>
      <c r="Q54" s="162"/>
      <c r="R54" s="162"/>
      <c r="S54" s="162"/>
      <c r="T54" s="162"/>
      <c r="U54" s="162"/>
      <c r="V54" s="162"/>
      <c r="W54" s="162"/>
      <c r="X54" s="166"/>
      <c r="Y54" s="166"/>
    </row>
    <row r="55">
      <c r="A55" s="161" t="s">
        <v>174</v>
      </c>
      <c r="B55" s="159">
        <v>89.36</v>
      </c>
      <c r="C55" s="159">
        <v>2.0</v>
      </c>
      <c r="D55" s="159">
        <v>9.0</v>
      </c>
      <c r="E55" s="160"/>
      <c r="F55" s="161" t="s">
        <v>100</v>
      </c>
      <c r="G55" s="159">
        <v>103.0</v>
      </c>
      <c r="H55" s="159">
        <v>3.0</v>
      </c>
      <c r="I55" s="159">
        <v>8.0</v>
      </c>
      <c r="J55" s="160"/>
      <c r="K55" s="162"/>
      <c r="L55" s="162"/>
      <c r="M55" s="162"/>
      <c r="N55" s="162"/>
      <c r="O55" s="160"/>
      <c r="P55" s="162"/>
      <c r="Q55" s="162"/>
      <c r="R55" s="162"/>
      <c r="S55" s="162"/>
      <c r="T55" s="162"/>
      <c r="U55" s="162"/>
      <c r="V55" s="162"/>
      <c r="W55" s="162"/>
      <c r="X55" s="166"/>
      <c r="Y55" s="166"/>
    </row>
    <row r="56">
      <c r="A56" s="161" t="s">
        <v>420</v>
      </c>
      <c r="B56" s="159">
        <v>82.58</v>
      </c>
      <c r="C56" s="159">
        <v>1.0</v>
      </c>
      <c r="D56" s="159">
        <v>10.0</v>
      </c>
      <c r="E56" s="160"/>
      <c r="F56" s="161" t="s">
        <v>125</v>
      </c>
      <c r="G56" s="159">
        <v>96.18</v>
      </c>
      <c r="H56" s="159">
        <v>2.0</v>
      </c>
      <c r="I56" s="159">
        <v>9.0</v>
      </c>
      <c r="J56" s="160"/>
      <c r="K56" s="162"/>
      <c r="L56" s="162"/>
      <c r="M56" s="162"/>
      <c r="N56" s="162"/>
      <c r="O56" s="160"/>
      <c r="P56" s="162"/>
      <c r="Q56" s="162"/>
      <c r="R56" s="162"/>
      <c r="S56" s="162"/>
      <c r="T56" s="162"/>
      <c r="U56" s="162"/>
      <c r="V56" s="162"/>
      <c r="W56" s="162"/>
      <c r="X56" s="166"/>
      <c r="Y56" s="166"/>
    </row>
    <row r="57">
      <c r="A57" s="161" t="s">
        <v>199</v>
      </c>
      <c r="B57" s="159">
        <v>78.6</v>
      </c>
      <c r="C57" s="159">
        <v>0.0</v>
      </c>
      <c r="D57" s="159">
        <v>11.0</v>
      </c>
      <c r="E57" s="160"/>
      <c r="F57" s="161" t="s">
        <v>421</v>
      </c>
      <c r="G57" s="159">
        <v>88.12</v>
      </c>
      <c r="H57" s="159">
        <v>1.0</v>
      </c>
      <c r="I57" s="159">
        <v>10.0</v>
      </c>
      <c r="J57" s="160"/>
      <c r="K57" s="162"/>
      <c r="L57" s="162"/>
      <c r="M57" s="162"/>
      <c r="N57" s="162"/>
      <c r="O57" s="160"/>
      <c r="P57" s="162"/>
      <c r="Q57" s="162"/>
      <c r="R57" s="162"/>
      <c r="S57" s="162"/>
      <c r="T57" s="162"/>
      <c r="U57" s="162"/>
      <c r="V57" s="162"/>
      <c r="W57" s="162"/>
      <c r="X57" s="166"/>
      <c r="Y57" s="166"/>
    </row>
    <row r="58">
      <c r="A58" s="170" t="s">
        <v>481</v>
      </c>
      <c r="B58" s="159"/>
      <c r="C58" s="159"/>
      <c r="D58" s="159"/>
      <c r="E58" s="160"/>
      <c r="F58" s="161" t="s">
        <v>152</v>
      </c>
      <c r="G58" s="159">
        <v>85.16</v>
      </c>
      <c r="H58" s="159">
        <v>0.0</v>
      </c>
      <c r="I58" s="159">
        <v>11.0</v>
      </c>
      <c r="J58" s="160"/>
      <c r="K58" s="162"/>
      <c r="L58" s="162"/>
      <c r="M58" s="162"/>
      <c r="N58" s="162"/>
      <c r="O58" s="160"/>
      <c r="P58" s="162"/>
      <c r="Q58" s="162"/>
      <c r="R58" s="162"/>
      <c r="S58" s="162"/>
      <c r="T58" s="162"/>
      <c r="U58" s="162"/>
      <c r="V58" s="162"/>
      <c r="W58" s="162"/>
      <c r="X58" s="166"/>
      <c r="Y58" s="166"/>
    </row>
    <row r="59">
      <c r="F59" s="161"/>
      <c r="G59" s="159"/>
      <c r="X59" s="136"/>
      <c r="Y59" s="136"/>
    </row>
    <row r="60">
      <c r="X60" s="136"/>
      <c r="Y60" s="136"/>
    </row>
    <row r="61">
      <c r="X61" s="136"/>
      <c r="Y61" s="136"/>
    </row>
    <row r="62">
      <c r="X62" s="136"/>
      <c r="Y62" s="136"/>
    </row>
    <row r="63">
      <c r="X63" s="136"/>
      <c r="Y63" s="136"/>
    </row>
    <row r="64">
      <c r="X64" s="136"/>
      <c r="Y64" s="136"/>
    </row>
    <row r="65">
      <c r="X65" s="136"/>
      <c r="Y65" s="136"/>
    </row>
    <row r="66">
      <c r="X66" s="136"/>
      <c r="Y66" s="136"/>
    </row>
    <row r="67">
      <c r="X67" s="136"/>
      <c r="Y67" s="136"/>
    </row>
    <row r="68">
      <c r="X68" s="136"/>
      <c r="Y68" s="136"/>
    </row>
    <row r="69">
      <c r="X69" s="136"/>
      <c r="Y69" s="136"/>
    </row>
    <row r="70">
      <c r="X70" s="136"/>
      <c r="Y70" s="136"/>
    </row>
    <row r="71">
      <c r="X71" s="136"/>
      <c r="Y71" s="136"/>
    </row>
    <row r="72">
      <c r="X72" s="136"/>
      <c r="Y72" s="136"/>
    </row>
    <row r="73">
      <c r="X73" s="136"/>
      <c r="Y73" s="136"/>
    </row>
    <row r="74">
      <c r="X74" s="136"/>
      <c r="Y74" s="136"/>
    </row>
    <row r="75">
      <c r="X75" s="136"/>
      <c r="Y75" s="136"/>
    </row>
    <row r="76">
      <c r="X76" s="136"/>
      <c r="Y76" s="136"/>
    </row>
    <row r="77">
      <c r="X77" s="136"/>
      <c r="Y77" s="136"/>
    </row>
    <row r="78">
      <c r="X78" s="136"/>
      <c r="Y78" s="136"/>
    </row>
    <row r="79">
      <c r="X79" s="136"/>
      <c r="Y79" s="136"/>
    </row>
    <row r="80">
      <c r="X80" s="136"/>
      <c r="Y80" s="136"/>
    </row>
    <row r="81">
      <c r="X81" s="136"/>
      <c r="Y81" s="136"/>
    </row>
    <row r="82">
      <c r="X82" s="136"/>
      <c r="Y82" s="136"/>
    </row>
    <row r="83">
      <c r="X83" s="136"/>
      <c r="Y83" s="136"/>
    </row>
    <row r="84">
      <c r="X84" s="136"/>
      <c r="Y84" s="136"/>
    </row>
    <row r="85">
      <c r="X85" s="136"/>
      <c r="Y85" s="136"/>
    </row>
    <row r="86">
      <c r="X86" s="136"/>
      <c r="Y86" s="136"/>
    </row>
    <row r="87">
      <c r="X87" s="136"/>
      <c r="Y87" s="136"/>
    </row>
    <row r="88">
      <c r="X88" s="136"/>
      <c r="Y88" s="136"/>
    </row>
    <row r="89">
      <c r="X89" s="136"/>
      <c r="Y89" s="136"/>
    </row>
    <row r="90">
      <c r="X90" s="136"/>
      <c r="Y90" s="136"/>
    </row>
    <row r="91">
      <c r="X91" s="136"/>
      <c r="Y91" s="136"/>
    </row>
    <row r="92">
      <c r="X92" s="136"/>
      <c r="Y92" s="136"/>
    </row>
    <row r="93">
      <c r="X93" s="136"/>
      <c r="Y93" s="136"/>
    </row>
    <row r="94">
      <c r="X94" s="136"/>
      <c r="Y94" s="136"/>
    </row>
    <row r="95">
      <c r="X95" s="136"/>
      <c r="Y95" s="136"/>
    </row>
    <row r="96">
      <c r="X96" s="136"/>
      <c r="Y96" s="136"/>
    </row>
    <row r="97">
      <c r="X97" s="136"/>
      <c r="Y97" s="136"/>
    </row>
    <row r="98">
      <c r="X98" s="136"/>
      <c r="Y98" s="136"/>
    </row>
    <row r="99">
      <c r="X99" s="136"/>
      <c r="Y99" s="136"/>
    </row>
    <row r="100">
      <c r="X100" s="136"/>
      <c r="Y100" s="136"/>
    </row>
    <row r="101">
      <c r="X101" s="136"/>
      <c r="Y101" s="136"/>
    </row>
    <row r="102">
      <c r="X102" s="136"/>
      <c r="Y102" s="136"/>
    </row>
    <row r="103">
      <c r="X103" s="136"/>
      <c r="Y103" s="136"/>
    </row>
    <row r="104">
      <c r="X104" s="136"/>
      <c r="Y104" s="136"/>
    </row>
    <row r="105">
      <c r="X105" s="136"/>
      <c r="Y105" s="136"/>
    </row>
    <row r="106">
      <c r="X106" s="136"/>
      <c r="Y106" s="136"/>
    </row>
    <row r="107">
      <c r="X107" s="136"/>
      <c r="Y107" s="136"/>
    </row>
    <row r="108">
      <c r="X108" s="136"/>
      <c r="Y108" s="136"/>
    </row>
    <row r="109">
      <c r="X109" s="136"/>
      <c r="Y109" s="136"/>
    </row>
    <row r="110">
      <c r="X110" s="136"/>
      <c r="Y110" s="136"/>
    </row>
    <row r="111">
      <c r="X111" s="136"/>
      <c r="Y111" s="136"/>
    </row>
    <row r="112">
      <c r="X112" s="136"/>
      <c r="Y112" s="136"/>
    </row>
    <row r="113">
      <c r="X113" s="136"/>
      <c r="Y113" s="136"/>
    </row>
    <row r="114">
      <c r="X114" s="136"/>
      <c r="Y114" s="136"/>
    </row>
    <row r="115">
      <c r="X115" s="136"/>
      <c r="Y115" s="136"/>
    </row>
    <row r="116">
      <c r="X116" s="136"/>
      <c r="Y116" s="136"/>
    </row>
    <row r="117">
      <c r="X117" s="136"/>
      <c r="Y117" s="136"/>
    </row>
    <row r="118">
      <c r="X118" s="136"/>
      <c r="Y118" s="136"/>
    </row>
    <row r="119">
      <c r="X119" s="136"/>
      <c r="Y119" s="136"/>
    </row>
    <row r="120">
      <c r="X120" s="136"/>
      <c r="Y120" s="136"/>
    </row>
    <row r="121">
      <c r="X121" s="136"/>
      <c r="Y121" s="136"/>
    </row>
    <row r="122">
      <c r="X122" s="136"/>
      <c r="Y122" s="136"/>
    </row>
    <row r="123">
      <c r="X123" s="136"/>
      <c r="Y123" s="136"/>
    </row>
    <row r="124">
      <c r="X124" s="136"/>
      <c r="Y124" s="136"/>
    </row>
    <row r="125">
      <c r="X125" s="136"/>
      <c r="Y125" s="136"/>
    </row>
    <row r="126">
      <c r="X126" s="136"/>
      <c r="Y126" s="136"/>
    </row>
    <row r="127">
      <c r="X127" s="136"/>
      <c r="Y127" s="136"/>
    </row>
    <row r="128">
      <c r="X128" s="136"/>
      <c r="Y128" s="136"/>
    </row>
    <row r="129">
      <c r="X129" s="136"/>
      <c r="Y129" s="136"/>
    </row>
    <row r="130">
      <c r="X130" s="136"/>
      <c r="Y130" s="136"/>
    </row>
    <row r="131">
      <c r="X131" s="136"/>
      <c r="Y131" s="136"/>
    </row>
    <row r="132">
      <c r="X132" s="136"/>
      <c r="Y132" s="136"/>
    </row>
    <row r="133">
      <c r="X133" s="136"/>
      <c r="Y133" s="136"/>
    </row>
    <row r="134">
      <c r="X134" s="136"/>
      <c r="Y134" s="136"/>
    </row>
    <row r="135">
      <c r="X135" s="136"/>
      <c r="Y135" s="136"/>
    </row>
    <row r="136">
      <c r="X136" s="136"/>
      <c r="Y136" s="136"/>
    </row>
    <row r="137">
      <c r="X137" s="136"/>
      <c r="Y137" s="136"/>
    </row>
    <row r="138">
      <c r="X138" s="136"/>
      <c r="Y138" s="136"/>
    </row>
    <row r="139">
      <c r="X139" s="136"/>
      <c r="Y139" s="136"/>
    </row>
    <row r="140">
      <c r="X140" s="136"/>
      <c r="Y140" s="136"/>
    </row>
    <row r="141">
      <c r="X141" s="136"/>
      <c r="Y141" s="136"/>
    </row>
    <row r="142">
      <c r="X142" s="136"/>
      <c r="Y142" s="136"/>
    </row>
    <row r="143">
      <c r="X143" s="136"/>
      <c r="Y143" s="136"/>
    </row>
    <row r="144">
      <c r="X144" s="136"/>
      <c r="Y144" s="136"/>
    </row>
    <row r="145">
      <c r="X145" s="136"/>
      <c r="Y145" s="136"/>
    </row>
    <row r="146">
      <c r="X146" s="136"/>
      <c r="Y146" s="136"/>
    </row>
    <row r="147">
      <c r="X147" s="136"/>
      <c r="Y147" s="136"/>
    </row>
    <row r="148">
      <c r="X148" s="136"/>
      <c r="Y148" s="136"/>
    </row>
    <row r="149">
      <c r="X149" s="136"/>
      <c r="Y149" s="136"/>
    </row>
    <row r="150">
      <c r="X150" s="136"/>
      <c r="Y150" s="136"/>
    </row>
    <row r="151">
      <c r="X151" s="136"/>
      <c r="Y151" s="136"/>
    </row>
    <row r="152">
      <c r="X152" s="136"/>
      <c r="Y152" s="136"/>
    </row>
    <row r="153">
      <c r="X153" s="136"/>
      <c r="Y153" s="136"/>
    </row>
    <row r="154">
      <c r="X154" s="136"/>
      <c r="Y154" s="136"/>
    </row>
    <row r="155">
      <c r="X155" s="136"/>
      <c r="Y155" s="136"/>
    </row>
    <row r="156">
      <c r="X156" s="136"/>
      <c r="Y156" s="136"/>
    </row>
    <row r="157">
      <c r="X157" s="136"/>
      <c r="Y157" s="136"/>
    </row>
    <row r="158">
      <c r="X158" s="136"/>
      <c r="Y158" s="136"/>
    </row>
    <row r="159">
      <c r="X159" s="136"/>
      <c r="Y159" s="136"/>
    </row>
    <row r="160">
      <c r="X160" s="136"/>
      <c r="Y160" s="136"/>
    </row>
    <row r="161">
      <c r="X161" s="136"/>
      <c r="Y161" s="136"/>
    </row>
    <row r="162">
      <c r="X162" s="136"/>
      <c r="Y162" s="136"/>
    </row>
    <row r="163">
      <c r="X163" s="136"/>
      <c r="Y163" s="136"/>
    </row>
    <row r="164">
      <c r="X164" s="136"/>
      <c r="Y164" s="136"/>
    </row>
    <row r="165">
      <c r="X165" s="136"/>
      <c r="Y165" s="136"/>
    </row>
    <row r="166">
      <c r="X166" s="136"/>
      <c r="Y166" s="136"/>
    </row>
    <row r="167">
      <c r="X167" s="136"/>
      <c r="Y167" s="136"/>
    </row>
    <row r="168">
      <c r="X168" s="136"/>
      <c r="Y168" s="136"/>
    </row>
    <row r="169">
      <c r="X169" s="136"/>
      <c r="Y169" s="136"/>
    </row>
    <row r="170">
      <c r="X170" s="136"/>
      <c r="Y170" s="136"/>
    </row>
    <row r="171">
      <c r="X171" s="136"/>
      <c r="Y171" s="136"/>
    </row>
    <row r="172">
      <c r="X172" s="136"/>
      <c r="Y172" s="136"/>
    </row>
    <row r="173">
      <c r="X173" s="136"/>
      <c r="Y173" s="136"/>
    </row>
    <row r="174">
      <c r="X174" s="136"/>
      <c r="Y174" s="136"/>
    </row>
    <row r="175">
      <c r="X175" s="136"/>
      <c r="Y175" s="136"/>
    </row>
    <row r="176">
      <c r="X176" s="136"/>
      <c r="Y176" s="136"/>
    </row>
    <row r="177">
      <c r="X177" s="136"/>
      <c r="Y177" s="136"/>
    </row>
    <row r="178">
      <c r="X178" s="136"/>
      <c r="Y178" s="136"/>
    </row>
    <row r="179">
      <c r="X179" s="136"/>
      <c r="Y179" s="136"/>
    </row>
    <row r="180">
      <c r="X180" s="136"/>
      <c r="Y180" s="136"/>
    </row>
    <row r="181">
      <c r="X181" s="136"/>
      <c r="Y181" s="136"/>
    </row>
    <row r="182">
      <c r="X182" s="136"/>
      <c r="Y182" s="136"/>
    </row>
    <row r="183">
      <c r="X183" s="136"/>
      <c r="Y183" s="136"/>
    </row>
    <row r="184">
      <c r="X184" s="136"/>
      <c r="Y184" s="136"/>
    </row>
    <row r="185">
      <c r="X185" s="136"/>
      <c r="Y185" s="136"/>
    </row>
    <row r="186">
      <c r="X186" s="136"/>
      <c r="Y186" s="136"/>
    </row>
    <row r="187">
      <c r="X187" s="136"/>
      <c r="Y187" s="136"/>
    </row>
    <row r="188">
      <c r="X188" s="136"/>
      <c r="Y188" s="136"/>
    </row>
    <row r="189">
      <c r="X189" s="136"/>
      <c r="Y189" s="136"/>
    </row>
    <row r="190">
      <c r="X190" s="136"/>
      <c r="Y190" s="136"/>
    </row>
    <row r="191">
      <c r="X191" s="136"/>
      <c r="Y191" s="136"/>
    </row>
    <row r="192">
      <c r="X192" s="136"/>
      <c r="Y192" s="136"/>
    </row>
    <row r="193">
      <c r="X193" s="136"/>
      <c r="Y193" s="136"/>
    </row>
    <row r="194">
      <c r="X194" s="136"/>
      <c r="Y194" s="136"/>
    </row>
    <row r="195">
      <c r="X195" s="136"/>
      <c r="Y195" s="136"/>
    </row>
    <row r="196">
      <c r="X196" s="136"/>
      <c r="Y196" s="136"/>
    </row>
    <row r="197">
      <c r="X197" s="136"/>
      <c r="Y197" s="136"/>
    </row>
    <row r="198">
      <c r="X198" s="136"/>
      <c r="Y198" s="136"/>
    </row>
    <row r="199">
      <c r="X199" s="136"/>
      <c r="Y199" s="136"/>
    </row>
    <row r="200">
      <c r="X200" s="136"/>
      <c r="Y200" s="136"/>
    </row>
    <row r="201">
      <c r="X201" s="136"/>
      <c r="Y201" s="136"/>
    </row>
    <row r="202">
      <c r="X202" s="136"/>
      <c r="Y202" s="136"/>
    </row>
    <row r="203">
      <c r="X203" s="136"/>
      <c r="Y203" s="136"/>
    </row>
    <row r="204">
      <c r="X204" s="136"/>
      <c r="Y204" s="136"/>
    </row>
    <row r="205">
      <c r="X205" s="136"/>
      <c r="Y205" s="136"/>
    </row>
    <row r="206">
      <c r="X206" s="136"/>
      <c r="Y206" s="136"/>
    </row>
    <row r="207">
      <c r="X207" s="136"/>
      <c r="Y207" s="136"/>
    </row>
    <row r="208">
      <c r="X208" s="136"/>
      <c r="Y208" s="136"/>
    </row>
    <row r="209">
      <c r="X209" s="136"/>
      <c r="Y209" s="136"/>
    </row>
    <row r="210">
      <c r="X210" s="136"/>
      <c r="Y210" s="136"/>
    </row>
    <row r="211">
      <c r="X211" s="136"/>
      <c r="Y211" s="136"/>
    </row>
    <row r="212">
      <c r="X212" s="136"/>
      <c r="Y212" s="136"/>
    </row>
    <row r="213">
      <c r="X213" s="136"/>
      <c r="Y213" s="136"/>
    </row>
    <row r="214">
      <c r="X214" s="136"/>
      <c r="Y214" s="136"/>
    </row>
    <row r="215">
      <c r="X215" s="136"/>
      <c r="Y215" s="136"/>
    </row>
    <row r="216">
      <c r="X216" s="136"/>
      <c r="Y216" s="136"/>
    </row>
    <row r="217">
      <c r="X217" s="136"/>
      <c r="Y217" s="136"/>
    </row>
    <row r="218">
      <c r="X218" s="136"/>
      <c r="Y218" s="136"/>
    </row>
    <row r="219">
      <c r="X219" s="136"/>
      <c r="Y219" s="136"/>
    </row>
    <row r="220">
      <c r="X220" s="136"/>
      <c r="Y220" s="136"/>
    </row>
    <row r="221">
      <c r="X221" s="136"/>
      <c r="Y221" s="136"/>
    </row>
    <row r="222">
      <c r="X222" s="136"/>
      <c r="Y222" s="136"/>
    </row>
    <row r="223">
      <c r="X223" s="136"/>
      <c r="Y223" s="136"/>
    </row>
    <row r="224">
      <c r="X224" s="136"/>
      <c r="Y224" s="136"/>
    </row>
    <row r="225">
      <c r="X225" s="136"/>
      <c r="Y225" s="136"/>
    </row>
    <row r="226">
      <c r="X226" s="136"/>
      <c r="Y226" s="136"/>
    </row>
    <row r="227">
      <c r="X227" s="136"/>
      <c r="Y227" s="136"/>
    </row>
    <row r="228">
      <c r="X228" s="136"/>
      <c r="Y228" s="136"/>
    </row>
    <row r="229">
      <c r="X229" s="136"/>
      <c r="Y229" s="136"/>
    </row>
    <row r="230">
      <c r="X230" s="136"/>
      <c r="Y230" s="136"/>
    </row>
    <row r="231">
      <c r="X231" s="136"/>
      <c r="Y231" s="136"/>
    </row>
    <row r="232">
      <c r="X232" s="136"/>
      <c r="Y232" s="136"/>
    </row>
    <row r="233">
      <c r="X233" s="136"/>
      <c r="Y233" s="136"/>
    </row>
    <row r="234">
      <c r="X234" s="136"/>
      <c r="Y234" s="136"/>
    </row>
    <row r="235">
      <c r="X235" s="136"/>
      <c r="Y235" s="136"/>
    </row>
    <row r="236">
      <c r="X236" s="136"/>
      <c r="Y236" s="136"/>
    </row>
    <row r="237">
      <c r="X237" s="136"/>
      <c r="Y237" s="136"/>
    </row>
    <row r="238">
      <c r="X238" s="136"/>
      <c r="Y238" s="136"/>
    </row>
    <row r="239">
      <c r="X239" s="136"/>
      <c r="Y239" s="136"/>
    </row>
    <row r="240">
      <c r="X240" s="136"/>
      <c r="Y240" s="136"/>
    </row>
    <row r="241">
      <c r="X241" s="136"/>
      <c r="Y241" s="136"/>
    </row>
    <row r="242">
      <c r="X242" s="136"/>
      <c r="Y242" s="136"/>
    </row>
    <row r="243">
      <c r="X243" s="136"/>
      <c r="Y243" s="136"/>
    </row>
    <row r="244">
      <c r="X244" s="136"/>
      <c r="Y244" s="136"/>
    </row>
    <row r="245">
      <c r="X245" s="136"/>
      <c r="Y245" s="136"/>
    </row>
    <row r="246">
      <c r="X246" s="136"/>
      <c r="Y246" s="136"/>
    </row>
    <row r="247">
      <c r="X247" s="136"/>
      <c r="Y247" s="136"/>
    </row>
    <row r="248">
      <c r="X248" s="136"/>
      <c r="Y248" s="136"/>
    </row>
    <row r="249">
      <c r="X249" s="136"/>
      <c r="Y249" s="136"/>
    </row>
    <row r="250">
      <c r="X250" s="136"/>
      <c r="Y250" s="136"/>
    </row>
    <row r="251">
      <c r="X251" s="136"/>
      <c r="Y251" s="136"/>
    </row>
    <row r="252">
      <c r="X252" s="136"/>
      <c r="Y252" s="136"/>
    </row>
    <row r="253">
      <c r="X253" s="136"/>
      <c r="Y253" s="136"/>
    </row>
    <row r="254">
      <c r="X254" s="136"/>
      <c r="Y254" s="136"/>
    </row>
    <row r="255">
      <c r="X255" s="136"/>
      <c r="Y255" s="136"/>
    </row>
    <row r="256">
      <c r="X256" s="136"/>
      <c r="Y256" s="136"/>
    </row>
    <row r="257">
      <c r="X257" s="136"/>
      <c r="Y257" s="136"/>
    </row>
    <row r="258">
      <c r="X258" s="136"/>
      <c r="Y258" s="136"/>
    </row>
    <row r="259">
      <c r="X259" s="136"/>
      <c r="Y259" s="136"/>
    </row>
    <row r="260">
      <c r="X260" s="136"/>
      <c r="Y260" s="136"/>
    </row>
    <row r="261">
      <c r="X261" s="136"/>
      <c r="Y261" s="136"/>
    </row>
    <row r="262">
      <c r="X262" s="136"/>
      <c r="Y262" s="136"/>
    </row>
    <row r="263">
      <c r="X263" s="136"/>
      <c r="Y263" s="136"/>
    </row>
    <row r="264">
      <c r="X264" s="136"/>
      <c r="Y264" s="136"/>
    </row>
    <row r="265">
      <c r="X265" s="136"/>
      <c r="Y265" s="136"/>
    </row>
    <row r="266">
      <c r="X266" s="136"/>
      <c r="Y266" s="136"/>
    </row>
    <row r="267">
      <c r="X267" s="136"/>
      <c r="Y267" s="136"/>
    </row>
    <row r="268">
      <c r="X268" s="136"/>
      <c r="Y268" s="136"/>
    </row>
    <row r="269">
      <c r="X269" s="136"/>
      <c r="Y269" s="136"/>
    </row>
    <row r="270">
      <c r="X270" s="136"/>
      <c r="Y270" s="136"/>
    </row>
    <row r="271">
      <c r="X271" s="136"/>
      <c r="Y271" s="136"/>
    </row>
    <row r="272">
      <c r="X272" s="136"/>
      <c r="Y272" s="136"/>
    </row>
    <row r="273">
      <c r="X273" s="136"/>
      <c r="Y273" s="136"/>
    </row>
    <row r="274">
      <c r="X274" s="136"/>
      <c r="Y274" s="136"/>
    </row>
    <row r="275">
      <c r="X275" s="136"/>
      <c r="Y275" s="136"/>
    </row>
    <row r="276">
      <c r="X276" s="136"/>
      <c r="Y276" s="136"/>
    </row>
    <row r="277">
      <c r="X277" s="136"/>
      <c r="Y277" s="136"/>
    </row>
    <row r="278">
      <c r="X278" s="136"/>
      <c r="Y278" s="136"/>
    </row>
    <row r="279">
      <c r="X279" s="136"/>
      <c r="Y279" s="136"/>
    </row>
    <row r="280">
      <c r="X280" s="136"/>
      <c r="Y280" s="136"/>
    </row>
    <row r="281">
      <c r="X281" s="136"/>
      <c r="Y281" s="136"/>
    </row>
    <row r="282">
      <c r="X282" s="136"/>
      <c r="Y282" s="136"/>
    </row>
    <row r="283">
      <c r="X283" s="136"/>
      <c r="Y283" s="136"/>
    </row>
    <row r="284">
      <c r="X284" s="136"/>
      <c r="Y284" s="136"/>
    </row>
    <row r="285">
      <c r="X285" s="136"/>
      <c r="Y285" s="136"/>
    </row>
    <row r="286">
      <c r="X286" s="136"/>
      <c r="Y286" s="136"/>
    </row>
    <row r="287">
      <c r="X287" s="136"/>
      <c r="Y287" s="136"/>
    </row>
    <row r="288">
      <c r="X288" s="136"/>
      <c r="Y288" s="136"/>
    </row>
    <row r="289">
      <c r="X289" s="136"/>
      <c r="Y289" s="136"/>
    </row>
    <row r="290">
      <c r="X290" s="136"/>
      <c r="Y290" s="136"/>
    </row>
    <row r="291">
      <c r="X291" s="136"/>
      <c r="Y291" s="136"/>
    </row>
    <row r="292">
      <c r="X292" s="136"/>
      <c r="Y292" s="136"/>
    </row>
    <row r="293">
      <c r="X293" s="136"/>
      <c r="Y293" s="136"/>
    </row>
    <row r="294">
      <c r="X294" s="136"/>
      <c r="Y294" s="136"/>
    </row>
    <row r="295">
      <c r="X295" s="136"/>
      <c r="Y295" s="136"/>
    </row>
    <row r="296">
      <c r="X296" s="136"/>
      <c r="Y296" s="136"/>
    </row>
    <row r="297">
      <c r="X297" s="136"/>
      <c r="Y297" s="136"/>
    </row>
    <row r="298">
      <c r="X298" s="136"/>
      <c r="Y298" s="136"/>
    </row>
    <row r="299">
      <c r="X299" s="136"/>
      <c r="Y299" s="136"/>
    </row>
    <row r="300">
      <c r="X300" s="136"/>
      <c r="Y300" s="136"/>
    </row>
    <row r="301">
      <c r="X301" s="136"/>
      <c r="Y301" s="136"/>
    </row>
    <row r="302">
      <c r="X302" s="136"/>
      <c r="Y302" s="136"/>
    </row>
    <row r="303">
      <c r="X303" s="136"/>
      <c r="Y303" s="136"/>
    </row>
    <row r="304">
      <c r="X304" s="136"/>
      <c r="Y304" s="136"/>
    </row>
    <row r="305">
      <c r="X305" s="136"/>
      <c r="Y305" s="136"/>
    </row>
    <row r="306">
      <c r="X306" s="136"/>
      <c r="Y306" s="136"/>
    </row>
    <row r="307">
      <c r="X307" s="136"/>
      <c r="Y307" s="136"/>
    </row>
    <row r="308">
      <c r="X308" s="136"/>
      <c r="Y308" s="136"/>
    </row>
    <row r="309">
      <c r="X309" s="136"/>
      <c r="Y309" s="136"/>
    </row>
    <row r="310">
      <c r="X310" s="136"/>
      <c r="Y310" s="136"/>
    </row>
    <row r="311">
      <c r="X311" s="136"/>
      <c r="Y311" s="136"/>
    </row>
    <row r="312">
      <c r="X312" s="136"/>
      <c r="Y312" s="136"/>
    </row>
    <row r="313">
      <c r="X313" s="136"/>
      <c r="Y313" s="136"/>
    </row>
    <row r="314">
      <c r="X314" s="136"/>
      <c r="Y314" s="136"/>
    </row>
    <row r="315">
      <c r="X315" s="136"/>
      <c r="Y315" s="136"/>
    </row>
    <row r="316">
      <c r="X316" s="136"/>
      <c r="Y316" s="136"/>
    </row>
    <row r="317">
      <c r="X317" s="136"/>
      <c r="Y317" s="136"/>
    </row>
    <row r="318">
      <c r="X318" s="136"/>
      <c r="Y318" s="136"/>
    </row>
    <row r="319">
      <c r="X319" s="136"/>
      <c r="Y319" s="136"/>
    </row>
    <row r="320">
      <c r="X320" s="136"/>
      <c r="Y320" s="136"/>
    </row>
    <row r="321">
      <c r="X321" s="136"/>
      <c r="Y321" s="136"/>
    </row>
    <row r="322">
      <c r="X322" s="136"/>
      <c r="Y322" s="136"/>
    </row>
    <row r="323">
      <c r="X323" s="136"/>
      <c r="Y323" s="136"/>
    </row>
    <row r="324">
      <c r="X324" s="136"/>
      <c r="Y324" s="136"/>
    </row>
    <row r="325">
      <c r="X325" s="136"/>
      <c r="Y325" s="136"/>
    </row>
    <row r="326">
      <c r="X326" s="136"/>
      <c r="Y326" s="136"/>
    </row>
    <row r="327">
      <c r="X327" s="136"/>
      <c r="Y327" s="136"/>
    </row>
    <row r="328">
      <c r="X328" s="136"/>
      <c r="Y328" s="136"/>
    </row>
    <row r="329">
      <c r="X329" s="136"/>
      <c r="Y329" s="136"/>
    </row>
    <row r="330">
      <c r="X330" s="136"/>
      <c r="Y330" s="136"/>
    </row>
    <row r="331">
      <c r="X331" s="136"/>
      <c r="Y331" s="136"/>
    </row>
    <row r="332">
      <c r="X332" s="136"/>
      <c r="Y332" s="136"/>
    </row>
    <row r="333">
      <c r="X333" s="136"/>
      <c r="Y333" s="136"/>
    </row>
    <row r="334">
      <c r="X334" s="136"/>
      <c r="Y334" s="136"/>
    </row>
    <row r="335">
      <c r="X335" s="136"/>
      <c r="Y335" s="136"/>
    </row>
    <row r="336">
      <c r="X336" s="136"/>
      <c r="Y336" s="136"/>
    </row>
    <row r="337">
      <c r="X337" s="136"/>
      <c r="Y337" s="136"/>
    </row>
    <row r="338">
      <c r="X338" s="136"/>
      <c r="Y338" s="136"/>
    </row>
    <row r="339">
      <c r="X339" s="136"/>
      <c r="Y339" s="136"/>
    </row>
    <row r="340">
      <c r="X340" s="136"/>
      <c r="Y340" s="136"/>
    </row>
    <row r="341">
      <c r="X341" s="136"/>
      <c r="Y341" s="136"/>
    </row>
    <row r="342">
      <c r="X342" s="136"/>
      <c r="Y342" s="136"/>
    </row>
    <row r="343">
      <c r="X343" s="136"/>
      <c r="Y343" s="136"/>
    </row>
    <row r="344">
      <c r="X344" s="136"/>
      <c r="Y344" s="136"/>
    </row>
    <row r="345">
      <c r="X345" s="136"/>
      <c r="Y345" s="136"/>
    </row>
    <row r="346">
      <c r="X346" s="136"/>
      <c r="Y346" s="136"/>
    </row>
    <row r="347">
      <c r="X347" s="136"/>
      <c r="Y347" s="136"/>
    </row>
    <row r="348">
      <c r="X348" s="136"/>
      <c r="Y348" s="136"/>
    </row>
    <row r="349">
      <c r="X349" s="136"/>
      <c r="Y349" s="136"/>
    </row>
    <row r="350">
      <c r="X350" s="136"/>
      <c r="Y350" s="136"/>
    </row>
    <row r="351">
      <c r="X351" s="136"/>
      <c r="Y351" s="136"/>
    </row>
    <row r="352">
      <c r="X352" s="136"/>
      <c r="Y352" s="136"/>
    </row>
    <row r="353">
      <c r="X353" s="136"/>
      <c r="Y353" s="136"/>
    </row>
    <row r="354">
      <c r="X354" s="136"/>
      <c r="Y354" s="136"/>
    </row>
    <row r="355">
      <c r="X355" s="136"/>
      <c r="Y355" s="136"/>
    </row>
    <row r="356">
      <c r="X356" s="136"/>
      <c r="Y356" s="136"/>
    </row>
    <row r="357">
      <c r="X357" s="136"/>
      <c r="Y357" s="136"/>
    </row>
    <row r="358">
      <c r="X358" s="136"/>
      <c r="Y358" s="136"/>
    </row>
    <row r="359">
      <c r="X359" s="136"/>
      <c r="Y359" s="136"/>
    </row>
    <row r="360">
      <c r="X360" s="136"/>
      <c r="Y360" s="136"/>
    </row>
    <row r="361">
      <c r="X361" s="136"/>
      <c r="Y361" s="136"/>
    </row>
    <row r="362">
      <c r="X362" s="136"/>
      <c r="Y362" s="136"/>
    </row>
    <row r="363">
      <c r="X363" s="136"/>
      <c r="Y363" s="136"/>
    </row>
    <row r="364">
      <c r="X364" s="136"/>
      <c r="Y364" s="136"/>
    </row>
    <row r="365">
      <c r="X365" s="136"/>
      <c r="Y365" s="136"/>
    </row>
    <row r="366">
      <c r="X366" s="136"/>
      <c r="Y366" s="136"/>
    </row>
    <row r="367">
      <c r="X367" s="136"/>
      <c r="Y367" s="136"/>
    </row>
    <row r="368">
      <c r="X368" s="136"/>
      <c r="Y368" s="136"/>
    </row>
    <row r="369">
      <c r="X369" s="136"/>
      <c r="Y369" s="136"/>
    </row>
    <row r="370">
      <c r="X370" s="136"/>
      <c r="Y370" s="136"/>
    </row>
    <row r="371">
      <c r="X371" s="136"/>
      <c r="Y371" s="136"/>
    </row>
    <row r="372">
      <c r="X372" s="136"/>
      <c r="Y372" s="136"/>
    </row>
    <row r="373">
      <c r="X373" s="136"/>
      <c r="Y373" s="136"/>
    </row>
    <row r="374">
      <c r="X374" s="136"/>
      <c r="Y374" s="136"/>
    </row>
    <row r="375">
      <c r="X375" s="136"/>
      <c r="Y375" s="136"/>
    </row>
    <row r="376">
      <c r="X376" s="136"/>
      <c r="Y376" s="136"/>
    </row>
    <row r="377">
      <c r="X377" s="136"/>
      <c r="Y377" s="136"/>
    </row>
    <row r="378">
      <c r="X378" s="136"/>
      <c r="Y378" s="136"/>
    </row>
    <row r="379">
      <c r="X379" s="136"/>
      <c r="Y379" s="136"/>
    </row>
    <row r="380">
      <c r="X380" s="136"/>
      <c r="Y380" s="136"/>
    </row>
    <row r="381">
      <c r="X381" s="136"/>
      <c r="Y381" s="136"/>
    </row>
    <row r="382">
      <c r="X382" s="136"/>
      <c r="Y382" s="136"/>
    </row>
    <row r="383">
      <c r="X383" s="136"/>
      <c r="Y383" s="136"/>
    </row>
    <row r="384">
      <c r="X384" s="136"/>
      <c r="Y384" s="136"/>
    </row>
    <row r="385">
      <c r="X385" s="136"/>
      <c r="Y385" s="136"/>
    </row>
    <row r="386">
      <c r="X386" s="136"/>
      <c r="Y386" s="136"/>
    </row>
    <row r="387">
      <c r="X387" s="136"/>
      <c r="Y387" s="136"/>
    </row>
    <row r="388">
      <c r="X388" s="136"/>
      <c r="Y388" s="136"/>
    </row>
    <row r="389">
      <c r="X389" s="136"/>
      <c r="Y389" s="136"/>
    </row>
    <row r="390">
      <c r="X390" s="136"/>
      <c r="Y390" s="136"/>
    </row>
    <row r="391">
      <c r="X391" s="136"/>
      <c r="Y391" s="136"/>
    </row>
    <row r="392">
      <c r="X392" s="136"/>
      <c r="Y392" s="136"/>
    </row>
    <row r="393">
      <c r="X393" s="136"/>
      <c r="Y393" s="136"/>
    </row>
    <row r="394">
      <c r="X394" s="136"/>
      <c r="Y394" s="136"/>
    </row>
    <row r="395">
      <c r="X395" s="136"/>
      <c r="Y395" s="136"/>
    </row>
    <row r="396">
      <c r="X396" s="136"/>
      <c r="Y396" s="136"/>
    </row>
    <row r="397">
      <c r="X397" s="136"/>
      <c r="Y397" s="136"/>
    </row>
    <row r="398">
      <c r="X398" s="136"/>
      <c r="Y398" s="136"/>
    </row>
    <row r="399">
      <c r="X399" s="136"/>
      <c r="Y399" s="136"/>
    </row>
    <row r="400">
      <c r="X400" s="136"/>
      <c r="Y400" s="136"/>
    </row>
    <row r="401">
      <c r="X401" s="136"/>
      <c r="Y401" s="136"/>
    </row>
    <row r="402">
      <c r="X402" s="136"/>
      <c r="Y402" s="136"/>
    </row>
    <row r="403">
      <c r="X403" s="136"/>
      <c r="Y403" s="136"/>
    </row>
    <row r="404">
      <c r="X404" s="136"/>
      <c r="Y404" s="136"/>
    </row>
    <row r="405">
      <c r="X405" s="136"/>
      <c r="Y405" s="136"/>
    </row>
    <row r="406">
      <c r="X406" s="136"/>
      <c r="Y406" s="136"/>
    </row>
    <row r="407">
      <c r="X407" s="136"/>
      <c r="Y407" s="136"/>
    </row>
    <row r="408">
      <c r="X408" s="136"/>
      <c r="Y408" s="136"/>
    </row>
    <row r="409">
      <c r="X409" s="136"/>
      <c r="Y409" s="136"/>
    </row>
    <row r="410">
      <c r="X410" s="136"/>
      <c r="Y410" s="136"/>
    </row>
    <row r="411">
      <c r="X411" s="136"/>
      <c r="Y411" s="136"/>
    </row>
    <row r="412">
      <c r="X412" s="136"/>
      <c r="Y412" s="136"/>
    </row>
    <row r="413">
      <c r="X413" s="136"/>
      <c r="Y413" s="136"/>
    </row>
    <row r="414">
      <c r="X414" s="136"/>
      <c r="Y414" s="136"/>
    </row>
    <row r="415">
      <c r="X415" s="136"/>
      <c r="Y415" s="136"/>
    </row>
    <row r="416">
      <c r="X416" s="136"/>
      <c r="Y416" s="136"/>
    </row>
    <row r="417">
      <c r="X417" s="136"/>
      <c r="Y417" s="136"/>
    </row>
    <row r="418">
      <c r="X418" s="136"/>
      <c r="Y418" s="136"/>
    </row>
    <row r="419">
      <c r="X419" s="136"/>
      <c r="Y419" s="136"/>
    </row>
    <row r="420">
      <c r="X420" s="136"/>
      <c r="Y420" s="136"/>
    </row>
    <row r="421">
      <c r="X421" s="136"/>
      <c r="Y421" s="136"/>
    </row>
    <row r="422">
      <c r="X422" s="136"/>
      <c r="Y422" s="136"/>
    </row>
    <row r="423">
      <c r="X423" s="136"/>
      <c r="Y423" s="136"/>
    </row>
    <row r="424">
      <c r="X424" s="136"/>
      <c r="Y424" s="136"/>
    </row>
    <row r="425">
      <c r="X425" s="136"/>
      <c r="Y425" s="136"/>
    </row>
    <row r="426">
      <c r="X426" s="136"/>
      <c r="Y426" s="136"/>
    </row>
    <row r="427">
      <c r="X427" s="136"/>
      <c r="Y427" s="136"/>
    </row>
    <row r="428">
      <c r="X428" s="136"/>
      <c r="Y428" s="136"/>
    </row>
    <row r="429">
      <c r="X429" s="136"/>
      <c r="Y429" s="136"/>
    </row>
    <row r="430">
      <c r="X430" s="136"/>
      <c r="Y430" s="136"/>
    </row>
    <row r="431">
      <c r="X431" s="136"/>
      <c r="Y431" s="136"/>
    </row>
    <row r="432">
      <c r="X432" s="136"/>
      <c r="Y432" s="136"/>
    </row>
    <row r="433">
      <c r="X433" s="136"/>
      <c r="Y433" s="136"/>
    </row>
    <row r="434">
      <c r="X434" s="136"/>
      <c r="Y434" s="136"/>
    </row>
    <row r="435">
      <c r="X435" s="136"/>
      <c r="Y435" s="136"/>
    </row>
    <row r="436">
      <c r="X436" s="136"/>
      <c r="Y436" s="136"/>
    </row>
    <row r="437">
      <c r="X437" s="136"/>
      <c r="Y437" s="136"/>
    </row>
    <row r="438">
      <c r="X438" s="136"/>
      <c r="Y438" s="136"/>
    </row>
    <row r="439">
      <c r="X439" s="136"/>
      <c r="Y439" s="136"/>
    </row>
    <row r="440">
      <c r="X440" s="136"/>
      <c r="Y440" s="136"/>
    </row>
    <row r="441">
      <c r="X441" s="136"/>
      <c r="Y441" s="136"/>
    </row>
    <row r="442">
      <c r="X442" s="136"/>
      <c r="Y442" s="136"/>
    </row>
    <row r="443">
      <c r="X443" s="136"/>
      <c r="Y443" s="136"/>
    </row>
    <row r="444">
      <c r="X444" s="136"/>
      <c r="Y444" s="136"/>
    </row>
    <row r="445">
      <c r="X445" s="136"/>
      <c r="Y445" s="136"/>
    </row>
    <row r="446">
      <c r="X446" s="136"/>
      <c r="Y446" s="136"/>
    </row>
    <row r="447">
      <c r="X447" s="136"/>
      <c r="Y447" s="136"/>
    </row>
    <row r="448">
      <c r="X448" s="136"/>
      <c r="Y448" s="136"/>
    </row>
    <row r="449">
      <c r="X449" s="136"/>
      <c r="Y449" s="136"/>
    </row>
    <row r="450">
      <c r="X450" s="136"/>
      <c r="Y450" s="136"/>
    </row>
    <row r="451">
      <c r="X451" s="136"/>
      <c r="Y451" s="136"/>
    </row>
    <row r="452">
      <c r="X452" s="136"/>
      <c r="Y452" s="136"/>
    </row>
    <row r="453">
      <c r="X453" s="136"/>
      <c r="Y453" s="136"/>
    </row>
    <row r="454">
      <c r="X454" s="136"/>
      <c r="Y454" s="136"/>
    </row>
    <row r="455">
      <c r="X455" s="136"/>
      <c r="Y455" s="136"/>
    </row>
    <row r="456">
      <c r="X456" s="136"/>
      <c r="Y456" s="136"/>
    </row>
    <row r="457">
      <c r="X457" s="136"/>
      <c r="Y457" s="136"/>
    </row>
    <row r="458">
      <c r="X458" s="136"/>
      <c r="Y458" s="136"/>
    </row>
    <row r="459">
      <c r="X459" s="136"/>
      <c r="Y459" s="136"/>
    </row>
    <row r="460">
      <c r="X460" s="136"/>
      <c r="Y460" s="136"/>
    </row>
    <row r="461">
      <c r="X461" s="136"/>
      <c r="Y461" s="136"/>
    </row>
    <row r="462">
      <c r="X462" s="136"/>
      <c r="Y462" s="136"/>
    </row>
    <row r="463">
      <c r="X463" s="136"/>
      <c r="Y463" s="136"/>
    </row>
    <row r="464">
      <c r="X464" s="136"/>
      <c r="Y464" s="136"/>
    </row>
    <row r="465">
      <c r="X465" s="136"/>
      <c r="Y465" s="136"/>
    </row>
    <row r="466">
      <c r="X466" s="136"/>
      <c r="Y466" s="136"/>
    </row>
    <row r="467">
      <c r="X467" s="136"/>
      <c r="Y467" s="136"/>
    </row>
    <row r="468">
      <c r="X468" s="136"/>
      <c r="Y468" s="136"/>
    </row>
    <row r="469">
      <c r="X469" s="136"/>
      <c r="Y469" s="136"/>
    </row>
    <row r="470">
      <c r="X470" s="136"/>
      <c r="Y470" s="136"/>
    </row>
    <row r="471">
      <c r="X471" s="136"/>
      <c r="Y471" s="136"/>
    </row>
    <row r="472">
      <c r="X472" s="136"/>
      <c r="Y472" s="136"/>
    </row>
    <row r="473">
      <c r="X473" s="136"/>
      <c r="Y473" s="136"/>
    </row>
    <row r="474">
      <c r="X474" s="136"/>
      <c r="Y474" s="136"/>
    </row>
    <row r="475">
      <c r="X475" s="136"/>
      <c r="Y475" s="136"/>
    </row>
    <row r="476">
      <c r="X476" s="136"/>
      <c r="Y476" s="136"/>
    </row>
    <row r="477">
      <c r="X477" s="136"/>
      <c r="Y477" s="136"/>
    </row>
    <row r="478">
      <c r="X478" s="136"/>
      <c r="Y478" s="136"/>
    </row>
    <row r="479">
      <c r="X479" s="136"/>
      <c r="Y479" s="136"/>
    </row>
    <row r="480">
      <c r="X480" s="136"/>
      <c r="Y480" s="136"/>
    </row>
    <row r="481">
      <c r="X481" s="136"/>
      <c r="Y481" s="136"/>
    </row>
    <row r="482">
      <c r="X482" s="136"/>
      <c r="Y482" s="136"/>
    </row>
    <row r="483">
      <c r="X483" s="136"/>
      <c r="Y483" s="136"/>
    </row>
    <row r="484">
      <c r="X484" s="136"/>
      <c r="Y484" s="136"/>
    </row>
    <row r="485">
      <c r="X485" s="136"/>
      <c r="Y485" s="136"/>
    </row>
    <row r="486">
      <c r="X486" s="136"/>
      <c r="Y486" s="136"/>
    </row>
    <row r="487">
      <c r="X487" s="136"/>
      <c r="Y487" s="136"/>
    </row>
    <row r="488">
      <c r="X488" s="136"/>
      <c r="Y488" s="136"/>
    </row>
    <row r="489">
      <c r="X489" s="136"/>
      <c r="Y489" s="136"/>
    </row>
    <row r="490">
      <c r="X490" s="136"/>
      <c r="Y490" s="136"/>
    </row>
    <row r="491">
      <c r="X491" s="136"/>
      <c r="Y491" s="136"/>
    </row>
    <row r="492">
      <c r="X492" s="136"/>
      <c r="Y492" s="136"/>
    </row>
    <row r="493">
      <c r="X493" s="136"/>
      <c r="Y493" s="136"/>
    </row>
    <row r="494">
      <c r="X494" s="136"/>
      <c r="Y494" s="136"/>
    </row>
    <row r="495">
      <c r="X495" s="136"/>
      <c r="Y495" s="136"/>
    </row>
    <row r="496">
      <c r="X496" s="136"/>
      <c r="Y496" s="136"/>
    </row>
    <row r="497">
      <c r="X497" s="136"/>
      <c r="Y497" s="136"/>
    </row>
    <row r="498">
      <c r="X498" s="136"/>
      <c r="Y498" s="136"/>
    </row>
    <row r="499">
      <c r="X499" s="136"/>
      <c r="Y499" s="136"/>
    </row>
    <row r="500">
      <c r="X500" s="136"/>
      <c r="Y500" s="136"/>
    </row>
    <row r="501">
      <c r="X501" s="136"/>
      <c r="Y501" s="136"/>
    </row>
    <row r="502">
      <c r="X502" s="136"/>
      <c r="Y502" s="136"/>
    </row>
    <row r="503">
      <c r="X503" s="136"/>
      <c r="Y503" s="136"/>
    </row>
    <row r="504">
      <c r="X504" s="136"/>
      <c r="Y504" s="136"/>
    </row>
    <row r="505">
      <c r="X505" s="136"/>
      <c r="Y505" s="136"/>
    </row>
    <row r="506">
      <c r="X506" s="136"/>
      <c r="Y506" s="136"/>
    </row>
    <row r="507">
      <c r="X507" s="136"/>
      <c r="Y507" s="136"/>
    </row>
    <row r="508">
      <c r="X508" s="136"/>
      <c r="Y508" s="136"/>
    </row>
    <row r="509">
      <c r="X509" s="136"/>
      <c r="Y509" s="136"/>
    </row>
    <row r="510">
      <c r="X510" s="136"/>
      <c r="Y510" s="136"/>
    </row>
    <row r="511">
      <c r="X511" s="136"/>
      <c r="Y511" s="136"/>
    </row>
    <row r="512">
      <c r="X512" s="136"/>
      <c r="Y512" s="136"/>
    </row>
    <row r="513">
      <c r="X513" s="136"/>
      <c r="Y513" s="136"/>
    </row>
    <row r="514">
      <c r="X514" s="136"/>
      <c r="Y514" s="136"/>
    </row>
    <row r="515">
      <c r="X515" s="136"/>
      <c r="Y515" s="136"/>
    </row>
    <row r="516">
      <c r="X516" s="136"/>
      <c r="Y516" s="136"/>
    </row>
    <row r="517">
      <c r="X517" s="136"/>
      <c r="Y517" s="136"/>
    </row>
    <row r="518">
      <c r="X518" s="136"/>
      <c r="Y518" s="136"/>
    </row>
    <row r="519">
      <c r="X519" s="136"/>
      <c r="Y519" s="136"/>
    </row>
    <row r="520">
      <c r="X520" s="136"/>
      <c r="Y520" s="136"/>
    </row>
    <row r="521">
      <c r="X521" s="136"/>
      <c r="Y521" s="136"/>
    </row>
    <row r="522">
      <c r="X522" s="136"/>
      <c r="Y522" s="136"/>
    </row>
    <row r="523">
      <c r="X523" s="136"/>
      <c r="Y523" s="136"/>
    </row>
    <row r="524">
      <c r="X524" s="136"/>
      <c r="Y524" s="136"/>
    </row>
    <row r="525">
      <c r="X525" s="136"/>
      <c r="Y525" s="136"/>
    </row>
    <row r="526">
      <c r="X526" s="136"/>
      <c r="Y526" s="136"/>
    </row>
    <row r="527">
      <c r="X527" s="136"/>
      <c r="Y527" s="136"/>
    </row>
    <row r="528">
      <c r="X528" s="136"/>
      <c r="Y528" s="136"/>
    </row>
    <row r="529">
      <c r="X529" s="136"/>
      <c r="Y529" s="136"/>
    </row>
    <row r="530">
      <c r="X530" s="136"/>
      <c r="Y530" s="136"/>
    </row>
    <row r="531">
      <c r="X531" s="136"/>
      <c r="Y531" s="136"/>
    </row>
    <row r="532">
      <c r="X532" s="136"/>
      <c r="Y532" s="136"/>
    </row>
    <row r="533">
      <c r="X533" s="136"/>
      <c r="Y533" s="136"/>
    </row>
    <row r="534">
      <c r="X534" s="136"/>
      <c r="Y534" s="136"/>
    </row>
    <row r="535">
      <c r="X535" s="136"/>
      <c r="Y535" s="136"/>
    </row>
    <row r="536">
      <c r="X536" s="136"/>
      <c r="Y536" s="136"/>
    </row>
    <row r="537">
      <c r="X537" s="136"/>
      <c r="Y537" s="136"/>
    </row>
    <row r="538">
      <c r="X538" s="136"/>
      <c r="Y538" s="136"/>
    </row>
    <row r="539">
      <c r="X539" s="136"/>
      <c r="Y539" s="136"/>
    </row>
    <row r="540">
      <c r="X540" s="136"/>
      <c r="Y540" s="136"/>
    </row>
    <row r="541">
      <c r="X541" s="136"/>
      <c r="Y541" s="136"/>
    </row>
    <row r="542">
      <c r="X542" s="136"/>
      <c r="Y542" s="136"/>
    </row>
    <row r="543">
      <c r="X543" s="136"/>
      <c r="Y543" s="136"/>
    </row>
    <row r="544">
      <c r="X544" s="136"/>
      <c r="Y544" s="136"/>
    </row>
    <row r="545">
      <c r="X545" s="136"/>
      <c r="Y545" s="136"/>
    </row>
    <row r="546">
      <c r="X546" s="136"/>
      <c r="Y546" s="136"/>
    </row>
    <row r="547">
      <c r="X547" s="136"/>
      <c r="Y547" s="136"/>
    </row>
    <row r="548">
      <c r="X548" s="136"/>
      <c r="Y548" s="136"/>
    </row>
    <row r="549">
      <c r="X549" s="136"/>
      <c r="Y549" s="136"/>
    </row>
    <row r="550">
      <c r="X550" s="136"/>
      <c r="Y550" s="136"/>
    </row>
    <row r="551">
      <c r="X551" s="136"/>
      <c r="Y551" s="136"/>
    </row>
    <row r="552">
      <c r="X552" s="136"/>
      <c r="Y552" s="136"/>
    </row>
    <row r="553">
      <c r="X553" s="136"/>
      <c r="Y553" s="136"/>
    </row>
    <row r="554">
      <c r="X554" s="136"/>
      <c r="Y554" s="136"/>
    </row>
    <row r="555">
      <c r="X555" s="136"/>
      <c r="Y555" s="136"/>
    </row>
    <row r="556">
      <c r="X556" s="136"/>
      <c r="Y556" s="136"/>
    </row>
    <row r="557">
      <c r="X557" s="136"/>
      <c r="Y557" s="136"/>
    </row>
    <row r="558">
      <c r="X558" s="136"/>
      <c r="Y558" s="136"/>
    </row>
    <row r="559">
      <c r="X559" s="136"/>
      <c r="Y559" s="136"/>
    </row>
    <row r="560">
      <c r="X560" s="136"/>
      <c r="Y560" s="136"/>
    </row>
    <row r="561">
      <c r="X561" s="136"/>
      <c r="Y561" s="136"/>
    </row>
    <row r="562">
      <c r="X562" s="136"/>
      <c r="Y562" s="136"/>
    </row>
    <row r="563">
      <c r="X563" s="136"/>
      <c r="Y563" s="136"/>
    </row>
    <row r="564">
      <c r="X564" s="136"/>
      <c r="Y564" s="136"/>
    </row>
    <row r="565">
      <c r="X565" s="136"/>
      <c r="Y565" s="136"/>
    </row>
    <row r="566">
      <c r="X566" s="136"/>
      <c r="Y566" s="136"/>
    </row>
    <row r="567">
      <c r="X567" s="136"/>
      <c r="Y567" s="136"/>
    </row>
    <row r="568">
      <c r="X568" s="136"/>
      <c r="Y568" s="136"/>
    </row>
    <row r="569">
      <c r="X569" s="136"/>
      <c r="Y569" s="136"/>
    </row>
    <row r="570">
      <c r="X570" s="136"/>
      <c r="Y570" s="136"/>
    </row>
    <row r="571">
      <c r="X571" s="136"/>
      <c r="Y571" s="136"/>
    </row>
    <row r="572">
      <c r="X572" s="136"/>
      <c r="Y572" s="136"/>
    </row>
    <row r="573">
      <c r="X573" s="136"/>
      <c r="Y573" s="136"/>
    </row>
    <row r="574">
      <c r="X574" s="136"/>
      <c r="Y574" s="136"/>
    </row>
    <row r="575">
      <c r="X575" s="136"/>
      <c r="Y575" s="136"/>
    </row>
    <row r="576">
      <c r="X576" s="136"/>
      <c r="Y576" s="136"/>
    </row>
    <row r="577">
      <c r="X577" s="136"/>
      <c r="Y577" s="136"/>
    </row>
    <row r="578">
      <c r="X578" s="136"/>
      <c r="Y578" s="136"/>
    </row>
    <row r="579">
      <c r="X579" s="136"/>
      <c r="Y579" s="136"/>
    </row>
    <row r="580">
      <c r="X580" s="136"/>
      <c r="Y580" s="136"/>
    </row>
    <row r="581">
      <c r="X581" s="136"/>
      <c r="Y581" s="136"/>
    </row>
    <row r="582">
      <c r="X582" s="136"/>
      <c r="Y582" s="136"/>
    </row>
    <row r="583">
      <c r="X583" s="136"/>
      <c r="Y583" s="136"/>
    </row>
    <row r="584">
      <c r="X584" s="136"/>
      <c r="Y584" s="136"/>
    </row>
    <row r="585">
      <c r="X585" s="136"/>
      <c r="Y585" s="136"/>
    </row>
    <row r="586">
      <c r="X586" s="136"/>
      <c r="Y586" s="136"/>
    </row>
    <row r="587">
      <c r="X587" s="136"/>
      <c r="Y587" s="136"/>
    </row>
    <row r="588">
      <c r="X588" s="136"/>
      <c r="Y588" s="136"/>
    </row>
    <row r="589">
      <c r="X589" s="136"/>
      <c r="Y589" s="136"/>
    </row>
    <row r="590">
      <c r="X590" s="136"/>
      <c r="Y590" s="136"/>
    </row>
    <row r="591">
      <c r="X591" s="136"/>
      <c r="Y591" s="136"/>
    </row>
    <row r="592">
      <c r="X592" s="136"/>
      <c r="Y592" s="136"/>
    </row>
    <row r="593">
      <c r="X593" s="136"/>
      <c r="Y593" s="136"/>
    </row>
    <row r="594">
      <c r="X594" s="136"/>
      <c r="Y594" s="136"/>
    </row>
    <row r="595">
      <c r="X595" s="136"/>
      <c r="Y595" s="136"/>
    </row>
    <row r="596">
      <c r="X596" s="136"/>
      <c r="Y596" s="136"/>
    </row>
    <row r="597">
      <c r="X597" s="136"/>
      <c r="Y597" s="136"/>
    </row>
    <row r="598">
      <c r="X598" s="136"/>
      <c r="Y598" s="136"/>
    </row>
    <row r="599">
      <c r="X599" s="136"/>
      <c r="Y599" s="136"/>
    </row>
    <row r="600">
      <c r="X600" s="136"/>
      <c r="Y600" s="136"/>
    </row>
    <row r="601">
      <c r="X601" s="136"/>
      <c r="Y601" s="136"/>
    </row>
    <row r="602">
      <c r="X602" s="136"/>
      <c r="Y602" s="136"/>
    </row>
    <row r="603">
      <c r="X603" s="136"/>
      <c r="Y603" s="136"/>
    </row>
    <row r="604">
      <c r="X604" s="136"/>
      <c r="Y604" s="136"/>
    </row>
    <row r="605">
      <c r="X605" s="136"/>
      <c r="Y605" s="136"/>
    </row>
    <row r="606">
      <c r="X606" s="136"/>
      <c r="Y606" s="136"/>
    </row>
    <row r="607">
      <c r="X607" s="136"/>
      <c r="Y607" s="136"/>
    </row>
    <row r="608">
      <c r="X608" s="136"/>
      <c r="Y608" s="136"/>
    </row>
    <row r="609">
      <c r="X609" s="136"/>
      <c r="Y609" s="136"/>
    </row>
    <row r="610">
      <c r="X610" s="136"/>
      <c r="Y610" s="136"/>
    </row>
    <row r="611">
      <c r="X611" s="136"/>
      <c r="Y611" s="136"/>
    </row>
    <row r="612">
      <c r="X612" s="136"/>
      <c r="Y612" s="136"/>
    </row>
    <row r="613">
      <c r="X613" s="136"/>
      <c r="Y613" s="136"/>
    </row>
    <row r="614">
      <c r="X614" s="136"/>
      <c r="Y614" s="136"/>
    </row>
    <row r="615">
      <c r="X615" s="136"/>
      <c r="Y615" s="136"/>
    </row>
    <row r="616">
      <c r="X616" s="136"/>
      <c r="Y616" s="136"/>
    </row>
    <row r="617">
      <c r="X617" s="136"/>
      <c r="Y617" s="136"/>
    </row>
    <row r="618">
      <c r="X618" s="136"/>
      <c r="Y618" s="136"/>
    </row>
    <row r="619">
      <c r="X619" s="136"/>
      <c r="Y619" s="136"/>
    </row>
    <row r="620">
      <c r="X620" s="136"/>
      <c r="Y620" s="136"/>
    </row>
    <row r="621">
      <c r="X621" s="136"/>
      <c r="Y621" s="136"/>
    </row>
    <row r="622">
      <c r="X622" s="136"/>
      <c r="Y622" s="136"/>
    </row>
    <row r="623">
      <c r="X623" s="136"/>
      <c r="Y623" s="136"/>
    </row>
    <row r="624">
      <c r="X624" s="136"/>
      <c r="Y624" s="136"/>
    </row>
    <row r="625">
      <c r="X625" s="136"/>
      <c r="Y625" s="136"/>
    </row>
    <row r="626">
      <c r="X626" s="136"/>
      <c r="Y626" s="136"/>
    </row>
    <row r="627">
      <c r="X627" s="136"/>
      <c r="Y627" s="136"/>
    </row>
    <row r="628">
      <c r="X628" s="136"/>
      <c r="Y628" s="136"/>
    </row>
    <row r="629">
      <c r="X629" s="136"/>
      <c r="Y629" s="136"/>
    </row>
    <row r="630">
      <c r="X630" s="136"/>
      <c r="Y630" s="136"/>
    </row>
    <row r="631">
      <c r="X631" s="136"/>
      <c r="Y631" s="136"/>
    </row>
    <row r="632">
      <c r="X632" s="136"/>
      <c r="Y632" s="136"/>
    </row>
    <row r="633">
      <c r="X633" s="136"/>
      <c r="Y633" s="136"/>
    </row>
    <row r="634">
      <c r="X634" s="136"/>
      <c r="Y634" s="136"/>
    </row>
    <row r="635">
      <c r="X635" s="136"/>
      <c r="Y635" s="136"/>
    </row>
    <row r="636">
      <c r="X636" s="136"/>
      <c r="Y636" s="136"/>
    </row>
    <row r="637">
      <c r="X637" s="136"/>
      <c r="Y637" s="136"/>
    </row>
    <row r="638">
      <c r="X638" s="136"/>
      <c r="Y638" s="136"/>
    </row>
    <row r="639">
      <c r="X639" s="136"/>
      <c r="Y639" s="136"/>
    </row>
    <row r="640">
      <c r="X640" s="136"/>
      <c r="Y640" s="136"/>
    </row>
    <row r="641">
      <c r="X641" s="136"/>
      <c r="Y641" s="136"/>
    </row>
    <row r="642">
      <c r="X642" s="136"/>
      <c r="Y642" s="136"/>
    </row>
    <row r="643">
      <c r="X643" s="136"/>
      <c r="Y643" s="136"/>
    </row>
    <row r="644">
      <c r="X644" s="136"/>
      <c r="Y644" s="136"/>
    </row>
    <row r="645">
      <c r="X645" s="136"/>
      <c r="Y645" s="136"/>
    </row>
    <row r="646">
      <c r="X646" s="136"/>
      <c r="Y646" s="136"/>
    </row>
    <row r="647">
      <c r="X647" s="136"/>
      <c r="Y647" s="136"/>
    </row>
    <row r="648">
      <c r="X648" s="136"/>
      <c r="Y648" s="136"/>
    </row>
    <row r="649">
      <c r="X649" s="136"/>
      <c r="Y649" s="136"/>
    </row>
    <row r="650">
      <c r="X650" s="136"/>
      <c r="Y650" s="136"/>
    </row>
    <row r="651">
      <c r="X651" s="136"/>
      <c r="Y651" s="136"/>
    </row>
    <row r="652">
      <c r="X652" s="136"/>
      <c r="Y652" s="136"/>
    </row>
    <row r="653">
      <c r="X653" s="136"/>
      <c r="Y653" s="136"/>
    </row>
    <row r="654">
      <c r="X654" s="136"/>
      <c r="Y654" s="136"/>
    </row>
    <row r="655">
      <c r="X655" s="136"/>
      <c r="Y655" s="136"/>
    </row>
    <row r="656">
      <c r="X656" s="136"/>
      <c r="Y656" s="136"/>
    </row>
    <row r="657">
      <c r="X657" s="136"/>
      <c r="Y657" s="136"/>
    </row>
    <row r="658">
      <c r="X658" s="136"/>
      <c r="Y658" s="136"/>
    </row>
    <row r="659">
      <c r="X659" s="136"/>
      <c r="Y659" s="136"/>
    </row>
    <row r="660">
      <c r="X660" s="136"/>
      <c r="Y660" s="136"/>
    </row>
    <row r="661">
      <c r="X661" s="136"/>
      <c r="Y661" s="136"/>
    </row>
    <row r="662">
      <c r="X662" s="136"/>
      <c r="Y662" s="136"/>
    </row>
    <row r="663">
      <c r="X663" s="136"/>
      <c r="Y663" s="136"/>
    </row>
    <row r="664">
      <c r="X664" s="136"/>
      <c r="Y664" s="136"/>
    </row>
    <row r="665">
      <c r="X665" s="136"/>
      <c r="Y665" s="136"/>
    </row>
    <row r="666">
      <c r="X666" s="136"/>
      <c r="Y666" s="136"/>
    </row>
    <row r="667">
      <c r="X667" s="136"/>
      <c r="Y667" s="136"/>
    </row>
    <row r="668">
      <c r="X668" s="136"/>
      <c r="Y668" s="136"/>
    </row>
    <row r="669">
      <c r="X669" s="136"/>
      <c r="Y669" s="136"/>
    </row>
    <row r="670">
      <c r="X670" s="136"/>
      <c r="Y670" s="136"/>
    </row>
    <row r="671">
      <c r="X671" s="136"/>
      <c r="Y671" s="136"/>
    </row>
    <row r="672">
      <c r="X672" s="136"/>
      <c r="Y672" s="136"/>
    </row>
    <row r="673">
      <c r="X673" s="136"/>
      <c r="Y673" s="136"/>
    </row>
    <row r="674">
      <c r="X674" s="136"/>
      <c r="Y674" s="136"/>
    </row>
    <row r="675">
      <c r="X675" s="136"/>
      <c r="Y675" s="136"/>
    </row>
    <row r="676">
      <c r="X676" s="136"/>
      <c r="Y676" s="136"/>
    </row>
    <row r="677">
      <c r="X677" s="136"/>
      <c r="Y677" s="136"/>
    </row>
    <row r="678">
      <c r="X678" s="136"/>
      <c r="Y678" s="136"/>
    </row>
    <row r="679">
      <c r="X679" s="136"/>
      <c r="Y679" s="136"/>
    </row>
    <row r="680">
      <c r="X680" s="136"/>
      <c r="Y680" s="136"/>
    </row>
    <row r="681">
      <c r="X681" s="136"/>
      <c r="Y681" s="136"/>
    </row>
    <row r="682">
      <c r="X682" s="136"/>
      <c r="Y682" s="136"/>
    </row>
    <row r="683">
      <c r="X683" s="136"/>
      <c r="Y683" s="136"/>
    </row>
    <row r="684">
      <c r="X684" s="136"/>
      <c r="Y684" s="136"/>
    </row>
    <row r="685">
      <c r="X685" s="136"/>
      <c r="Y685" s="136"/>
    </row>
    <row r="686">
      <c r="X686" s="136"/>
      <c r="Y686" s="136"/>
    </row>
    <row r="687">
      <c r="X687" s="136"/>
      <c r="Y687" s="136"/>
    </row>
    <row r="688">
      <c r="X688" s="136"/>
      <c r="Y688" s="136"/>
    </row>
    <row r="689">
      <c r="X689" s="136"/>
      <c r="Y689" s="136"/>
    </row>
    <row r="690">
      <c r="X690" s="136"/>
      <c r="Y690" s="136"/>
    </row>
    <row r="691">
      <c r="X691" s="136"/>
      <c r="Y691" s="136"/>
    </row>
    <row r="692">
      <c r="X692" s="136"/>
      <c r="Y692" s="136"/>
    </row>
    <row r="693">
      <c r="X693" s="136"/>
      <c r="Y693" s="136"/>
    </row>
    <row r="694">
      <c r="X694" s="136"/>
      <c r="Y694" s="136"/>
    </row>
    <row r="695">
      <c r="X695" s="136"/>
      <c r="Y695" s="136"/>
    </row>
    <row r="696">
      <c r="X696" s="136"/>
      <c r="Y696" s="136"/>
    </row>
    <row r="697">
      <c r="X697" s="136"/>
      <c r="Y697" s="136"/>
    </row>
    <row r="698">
      <c r="X698" s="136"/>
      <c r="Y698" s="136"/>
    </row>
    <row r="699">
      <c r="X699" s="136"/>
      <c r="Y699" s="136"/>
    </row>
    <row r="700">
      <c r="X700" s="136"/>
      <c r="Y700" s="136"/>
    </row>
    <row r="701">
      <c r="X701" s="136"/>
      <c r="Y701" s="136"/>
    </row>
    <row r="702">
      <c r="X702" s="136"/>
      <c r="Y702" s="136"/>
    </row>
    <row r="703">
      <c r="X703" s="136"/>
      <c r="Y703" s="136"/>
    </row>
    <row r="704">
      <c r="X704" s="136"/>
      <c r="Y704" s="136"/>
    </row>
    <row r="705">
      <c r="X705" s="136"/>
      <c r="Y705" s="136"/>
    </row>
    <row r="706">
      <c r="X706" s="136"/>
      <c r="Y706" s="136"/>
    </row>
    <row r="707">
      <c r="X707" s="136"/>
      <c r="Y707" s="136"/>
    </row>
    <row r="708">
      <c r="X708" s="136"/>
      <c r="Y708" s="136"/>
    </row>
    <row r="709">
      <c r="X709" s="136"/>
      <c r="Y709" s="136"/>
    </row>
    <row r="710">
      <c r="X710" s="136"/>
      <c r="Y710" s="136"/>
    </row>
    <row r="711">
      <c r="X711" s="136"/>
      <c r="Y711" s="136"/>
    </row>
    <row r="712">
      <c r="X712" s="136"/>
      <c r="Y712" s="136"/>
    </row>
    <row r="713">
      <c r="X713" s="136"/>
      <c r="Y713" s="136"/>
    </row>
    <row r="714">
      <c r="X714" s="136"/>
      <c r="Y714" s="136"/>
    </row>
    <row r="715">
      <c r="X715" s="136"/>
      <c r="Y715" s="136"/>
    </row>
    <row r="716">
      <c r="X716" s="136"/>
      <c r="Y716" s="136"/>
    </row>
    <row r="717">
      <c r="X717" s="136"/>
      <c r="Y717" s="136"/>
    </row>
    <row r="718">
      <c r="X718" s="136"/>
      <c r="Y718" s="136"/>
    </row>
    <row r="719">
      <c r="X719" s="136"/>
      <c r="Y719" s="136"/>
    </row>
    <row r="720">
      <c r="X720" s="136"/>
      <c r="Y720" s="136"/>
    </row>
    <row r="721">
      <c r="X721" s="136"/>
      <c r="Y721" s="136"/>
    </row>
    <row r="722">
      <c r="X722" s="136"/>
      <c r="Y722" s="136"/>
    </row>
    <row r="723">
      <c r="X723" s="136"/>
      <c r="Y723" s="136"/>
    </row>
    <row r="724">
      <c r="X724" s="136"/>
      <c r="Y724" s="136"/>
    </row>
    <row r="725">
      <c r="X725" s="136"/>
      <c r="Y725" s="136"/>
    </row>
    <row r="726">
      <c r="X726" s="136"/>
      <c r="Y726" s="136"/>
    </row>
    <row r="727">
      <c r="X727" s="136"/>
      <c r="Y727" s="136"/>
    </row>
    <row r="728">
      <c r="X728" s="136"/>
      <c r="Y728" s="136"/>
    </row>
    <row r="729">
      <c r="X729" s="136"/>
      <c r="Y729" s="136"/>
    </row>
    <row r="730">
      <c r="X730" s="136"/>
      <c r="Y730" s="136"/>
    </row>
    <row r="731">
      <c r="X731" s="136"/>
      <c r="Y731" s="136"/>
    </row>
    <row r="732">
      <c r="X732" s="136"/>
      <c r="Y732" s="136"/>
    </row>
    <row r="733">
      <c r="X733" s="136"/>
      <c r="Y733" s="136"/>
    </row>
    <row r="734">
      <c r="X734" s="136"/>
      <c r="Y734" s="136"/>
    </row>
    <row r="735">
      <c r="X735" s="136"/>
      <c r="Y735" s="136"/>
    </row>
    <row r="736">
      <c r="X736" s="136"/>
      <c r="Y736" s="136"/>
    </row>
    <row r="737">
      <c r="X737" s="136"/>
      <c r="Y737" s="136"/>
    </row>
    <row r="738">
      <c r="X738" s="136"/>
      <c r="Y738" s="136"/>
    </row>
    <row r="739">
      <c r="X739" s="136"/>
      <c r="Y739" s="136"/>
    </row>
    <row r="740">
      <c r="X740" s="136"/>
      <c r="Y740" s="136"/>
    </row>
    <row r="741">
      <c r="X741" s="136"/>
      <c r="Y741" s="136"/>
    </row>
    <row r="742">
      <c r="X742" s="136"/>
      <c r="Y742" s="136"/>
    </row>
    <row r="743">
      <c r="X743" s="136"/>
      <c r="Y743" s="136"/>
    </row>
    <row r="744">
      <c r="X744" s="136"/>
      <c r="Y744" s="136"/>
    </row>
    <row r="745">
      <c r="X745" s="136"/>
      <c r="Y745" s="136"/>
    </row>
    <row r="746">
      <c r="X746" s="136"/>
      <c r="Y746" s="136"/>
    </row>
    <row r="747">
      <c r="X747" s="136"/>
      <c r="Y747" s="136"/>
    </row>
    <row r="748">
      <c r="X748" s="136"/>
      <c r="Y748" s="136"/>
    </row>
    <row r="749">
      <c r="X749" s="136"/>
      <c r="Y749" s="136"/>
    </row>
    <row r="750">
      <c r="X750" s="136"/>
      <c r="Y750" s="136"/>
    </row>
    <row r="751">
      <c r="X751" s="136"/>
      <c r="Y751" s="136"/>
    </row>
    <row r="752">
      <c r="X752" s="136"/>
      <c r="Y752" s="136"/>
    </row>
    <row r="753">
      <c r="X753" s="136"/>
      <c r="Y753" s="136"/>
    </row>
    <row r="754">
      <c r="X754" s="136"/>
      <c r="Y754" s="136"/>
    </row>
    <row r="755">
      <c r="X755" s="136"/>
      <c r="Y755" s="136"/>
    </row>
    <row r="756">
      <c r="X756" s="136"/>
      <c r="Y756" s="136"/>
    </row>
    <row r="757">
      <c r="X757" s="136"/>
      <c r="Y757" s="136"/>
    </row>
    <row r="758">
      <c r="X758" s="136"/>
      <c r="Y758" s="136"/>
    </row>
    <row r="759">
      <c r="X759" s="136"/>
      <c r="Y759" s="136"/>
    </row>
    <row r="760">
      <c r="X760" s="136"/>
      <c r="Y760" s="136"/>
    </row>
    <row r="761">
      <c r="X761" s="136"/>
      <c r="Y761" s="136"/>
    </row>
    <row r="762">
      <c r="X762" s="136"/>
      <c r="Y762" s="136"/>
    </row>
    <row r="763">
      <c r="X763" s="136"/>
      <c r="Y763" s="136"/>
    </row>
    <row r="764">
      <c r="X764" s="136"/>
      <c r="Y764" s="136"/>
    </row>
    <row r="765">
      <c r="X765" s="136"/>
      <c r="Y765" s="136"/>
    </row>
    <row r="766">
      <c r="X766" s="136"/>
      <c r="Y766" s="136"/>
    </row>
    <row r="767">
      <c r="X767" s="136"/>
      <c r="Y767" s="136"/>
    </row>
    <row r="768">
      <c r="X768" s="136"/>
      <c r="Y768" s="136"/>
    </row>
    <row r="769">
      <c r="X769" s="136"/>
      <c r="Y769" s="136"/>
    </row>
    <row r="770">
      <c r="X770" s="136"/>
      <c r="Y770" s="136"/>
    </row>
    <row r="771">
      <c r="X771" s="136"/>
      <c r="Y771" s="136"/>
    </row>
    <row r="772">
      <c r="X772" s="136"/>
      <c r="Y772" s="136"/>
    </row>
    <row r="773">
      <c r="X773" s="136"/>
      <c r="Y773" s="136"/>
    </row>
    <row r="774">
      <c r="X774" s="136"/>
      <c r="Y774" s="136"/>
    </row>
    <row r="775">
      <c r="X775" s="136"/>
      <c r="Y775" s="136"/>
    </row>
    <row r="776">
      <c r="X776" s="136"/>
      <c r="Y776" s="136"/>
    </row>
    <row r="777">
      <c r="X777" s="136"/>
      <c r="Y777" s="136"/>
    </row>
    <row r="778">
      <c r="X778" s="136"/>
      <c r="Y778" s="136"/>
    </row>
    <row r="779">
      <c r="X779" s="136"/>
      <c r="Y779" s="136"/>
    </row>
    <row r="780">
      <c r="X780" s="136"/>
      <c r="Y780" s="136"/>
    </row>
    <row r="781">
      <c r="X781" s="136"/>
      <c r="Y781" s="136"/>
    </row>
    <row r="782">
      <c r="X782" s="136"/>
      <c r="Y782" s="136"/>
    </row>
    <row r="783">
      <c r="X783" s="136"/>
      <c r="Y783" s="136"/>
    </row>
    <row r="784">
      <c r="X784" s="136"/>
      <c r="Y784" s="136"/>
    </row>
    <row r="785">
      <c r="X785" s="136"/>
      <c r="Y785" s="136"/>
    </row>
    <row r="786">
      <c r="X786" s="136"/>
      <c r="Y786" s="136"/>
    </row>
    <row r="787">
      <c r="X787" s="136"/>
      <c r="Y787" s="136"/>
    </row>
    <row r="788">
      <c r="X788" s="136"/>
      <c r="Y788" s="136"/>
    </row>
    <row r="789">
      <c r="X789" s="136"/>
      <c r="Y789" s="136"/>
    </row>
    <row r="790">
      <c r="X790" s="136"/>
      <c r="Y790" s="136"/>
    </row>
    <row r="791">
      <c r="X791" s="136"/>
      <c r="Y791" s="136"/>
    </row>
    <row r="792">
      <c r="X792" s="136"/>
      <c r="Y792" s="136"/>
    </row>
    <row r="793">
      <c r="X793" s="136"/>
      <c r="Y793" s="136"/>
    </row>
    <row r="794">
      <c r="X794" s="136"/>
      <c r="Y794" s="136"/>
    </row>
    <row r="795">
      <c r="X795" s="136"/>
      <c r="Y795" s="136"/>
    </row>
    <row r="796">
      <c r="X796" s="136"/>
      <c r="Y796" s="136"/>
    </row>
    <row r="797">
      <c r="X797" s="136"/>
      <c r="Y797" s="136"/>
    </row>
    <row r="798">
      <c r="X798" s="136"/>
      <c r="Y798" s="136"/>
    </row>
    <row r="799">
      <c r="X799" s="136"/>
      <c r="Y799" s="136"/>
    </row>
    <row r="800">
      <c r="X800" s="136"/>
      <c r="Y800" s="136"/>
    </row>
    <row r="801">
      <c r="X801" s="136"/>
      <c r="Y801" s="136"/>
    </row>
    <row r="802">
      <c r="X802" s="136"/>
      <c r="Y802" s="136"/>
    </row>
    <row r="803">
      <c r="X803" s="136"/>
      <c r="Y803" s="136"/>
    </row>
    <row r="804">
      <c r="X804" s="136"/>
      <c r="Y804" s="136"/>
    </row>
    <row r="805">
      <c r="X805" s="136"/>
      <c r="Y805" s="136"/>
    </row>
    <row r="806">
      <c r="X806" s="136"/>
      <c r="Y806" s="136"/>
    </row>
    <row r="807">
      <c r="X807" s="136"/>
      <c r="Y807" s="136"/>
    </row>
    <row r="808">
      <c r="X808" s="136"/>
      <c r="Y808" s="136"/>
    </row>
    <row r="809">
      <c r="X809" s="136"/>
      <c r="Y809" s="136"/>
    </row>
    <row r="810">
      <c r="X810" s="136"/>
      <c r="Y810" s="136"/>
    </row>
    <row r="811">
      <c r="X811" s="136"/>
      <c r="Y811" s="136"/>
    </row>
    <row r="812">
      <c r="X812" s="136"/>
      <c r="Y812" s="136"/>
    </row>
    <row r="813">
      <c r="X813" s="136"/>
      <c r="Y813" s="136"/>
    </row>
    <row r="814">
      <c r="X814" s="136"/>
      <c r="Y814" s="136"/>
    </row>
    <row r="815">
      <c r="X815" s="136"/>
      <c r="Y815" s="136"/>
    </row>
    <row r="816">
      <c r="X816" s="136"/>
      <c r="Y816" s="136"/>
    </row>
    <row r="817">
      <c r="X817" s="136"/>
      <c r="Y817" s="136"/>
    </row>
    <row r="818">
      <c r="X818" s="136"/>
      <c r="Y818" s="136"/>
    </row>
    <row r="819">
      <c r="X819" s="136"/>
      <c r="Y819" s="136"/>
    </row>
    <row r="820">
      <c r="X820" s="136"/>
      <c r="Y820" s="136"/>
    </row>
    <row r="821">
      <c r="X821" s="136"/>
      <c r="Y821" s="136"/>
    </row>
    <row r="822">
      <c r="X822" s="136"/>
      <c r="Y822" s="136"/>
    </row>
    <row r="823">
      <c r="X823" s="136"/>
      <c r="Y823" s="136"/>
    </row>
    <row r="824">
      <c r="X824" s="136"/>
      <c r="Y824" s="136"/>
    </row>
    <row r="825">
      <c r="X825" s="136"/>
      <c r="Y825" s="136"/>
    </row>
    <row r="826">
      <c r="X826" s="136"/>
      <c r="Y826" s="136"/>
    </row>
    <row r="827">
      <c r="X827" s="136"/>
      <c r="Y827" s="136"/>
    </row>
    <row r="828">
      <c r="X828" s="136"/>
      <c r="Y828" s="136"/>
    </row>
    <row r="829">
      <c r="X829" s="136"/>
      <c r="Y829" s="136"/>
    </row>
    <row r="830">
      <c r="X830" s="136"/>
      <c r="Y830" s="136"/>
    </row>
    <row r="831">
      <c r="X831" s="136"/>
      <c r="Y831" s="136"/>
    </row>
    <row r="832">
      <c r="X832" s="136"/>
      <c r="Y832" s="136"/>
    </row>
    <row r="833">
      <c r="X833" s="136"/>
      <c r="Y833" s="136"/>
    </row>
    <row r="834">
      <c r="X834" s="136"/>
      <c r="Y834" s="136"/>
    </row>
    <row r="835">
      <c r="X835" s="136"/>
      <c r="Y835" s="136"/>
    </row>
    <row r="836">
      <c r="X836" s="136"/>
      <c r="Y836" s="136"/>
    </row>
    <row r="837">
      <c r="X837" s="136"/>
      <c r="Y837" s="136"/>
    </row>
    <row r="838">
      <c r="X838" s="136"/>
      <c r="Y838" s="136"/>
    </row>
    <row r="839">
      <c r="X839" s="136"/>
      <c r="Y839" s="136"/>
    </row>
    <row r="840">
      <c r="X840" s="136"/>
      <c r="Y840" s="136"/>
    </row>
    <row r="841">
      <c r="X841" s="136"/>
      <c r="Y841" s="136"/>
    </row>
    <row r="842">
      <c r="X842" s="136"/>
      <c r="Y842" s="136"/>
    </row>
    <row r="843">
      <c r="X843" s="136"/>
      <c r="Y843" s="136"/>
    </row>
    <row r="844">
      <c r="X844" s="136"/>
      <c r="Y844" s="136"/>
    </row>
    <row r="845">
      <c r="X845" s="136"/>
      <c r="Y845" s="136"/>
    </row>
    <row r="846">
      <c r="X846" s="136"/>
      <c r="Y846" s="136"/>
    </row>
    <row r="847">
      <c r="X847" s="136"/>
      <c r="Y847" s="136"/>
    </row>
    <row r="848">
      <c r="X848" s="136"/>
      <c r="Y848" s="136"/>
    </row>
    <row r="849">
      <c r="X849" s="136"/>
      <c r="Y849" s="136"/>
    </row>
    <row r="850">
      <c r="X850" s="136"/>
      <c r="Y850" s="136"/>
    </row>
    <row r="851">
      <c r="X851" s="136"/>
      <c r="Y851" s="136"/>
    </row>
    <row r="852">
      <c r="X852" s="136"/>
      <c r="Y852" s="136"/>
    </row>
    <row r="853">
      <c r="X853" s="136"/>
      <c r="Y853" s="136"/>
    </row>
    <row r="854">
      <c r="X854" s="136"/>
      <c r="Y854" s="136"/>
    </row>
    <row r="855">
      <c r="X855" s="136"/>
      <c r="Y855" s="136"/>
    </row>
    <row r="856">
      <c r="X856" s="136"/>
      <c r="Y856" s="136"/>
    </row>
    <row r="857">
      <c r="X857" s="136"/>
      <c r="Y857" s="136"/>
    </row>
    <row r="858">
      <c r="X858" s="136"/>
      <c r="Y858" s="136"/>
    </row>
    <row r="859">
      <c r="X859" s="136"/>
      <c r="Y859" s="136"/>
    </row>
    <row r="860">
      <c r="X860" s="136"/>
      <c r="Y860" s="136"/>
    </row>
    <row r="861">
      <c r="X861" s="136"/>
      <c r="Y861" s="136"/>
    </row>
    <row r="862">
      <c r="X862" s="136"/>
      <c r="Y862" s="136"/>
    </row>
    <row r="863">
      <c r="X863" s="136"/>
      <c r="Y863" s="136"/>
    </row>
    <row r="864">
      <c r="X864" s="136"/>
      <c r="Y864" s="136"/>
    </row>
    <row r="865">
      <c r="X865" s="136"/>
      <c r="Y865" s="136"/>
    </row>
    <row r="866">
      <c r="X866" s="136"/>
      <c r="Y866" s="136"/>
    </row>
    <row r="867">
      <c r="X867" s="136"/>
      <c r="Y867" s="136"/>
    </row>
    <row r="868">
      <c r="X868" s="136"/>
      <c r="Y868" s="136"/>
    </row>
    <row r="869">
      <c r="X869" s="136"/>
      <c r="Y869" s="136"/>
    </row>
    <row r="870">
      <c r="X870" s="136"/>
      <c r="Y870" s="136"/>
    </row>
    <row r="871">
      <c r="X871" s="136"/>
      <c r="Y871" s="136"/>
    </row>
    <row r="872">
      <c r="X872" s="136"/>
      <c r="Y872" s="136"/>
    </row>
    <row r="873">
      <c r="X873" s="136"/>
      <c r="Y873" s="136"/>
    </row>
    <row r="874">
      <c r="X874" s="136"/>
      <c r="Y874" s="136"/>
    </row>
    <row r="875">
      <c r="X875" s="136"/>
      <c r="Y875" s="136"/>
    </row>
    <row r="876">
      <c r="X876" s="136"/>
      <c r="Y876" s="136"/>
    </row>
    <row r="877">
      <c r="X877" s="136"/>
      <c r="Y877" s="136"/>
    </row>
    <row r="878">
      <c r="X878" s="136"/>
      <c r="Y878" s="136"/>
    </row>
    <row r="879">
      <c r="X879" s="136"/>
      <c r="Y879" s="136"/>
    </row>
    <row r="880">
      <c r="X880" s="136"/>
      <c r="Y880" s="136"/>
    </row>
    <row r="881">
      <c r="X881" s="136"/>
      <c r="Y881" s="136"/>
    </row>
    <row r="882">
      <c r="X882" s="136"/>
      <c r="Y882" s="136"/>
    </row>
    <row r="883">
      <c r="X883" s="136"/>
      <c r="Y883" s="136"/>
    </row>
    <row r="884">
      <c r="X884" s="136"/>
      <c r="Y884" s="136"/>
    </row>
    <row r="885">
      <c r="X885" s="136"/>
      <c r="Y885" s="136"/>
    </row>
    <row r="886">
      <c r="X886" s="136"/>
      <c r="Y886" s="136"/>
    </row>
    <row r="887">
      <c r="X887" s="136"/>
      <c r="Y887" s="136"/>
    </row>
    <row r="888">
      <c r="X888" s="136"/>
      <c r="Y888" s="136"/>
    </row>
    <row r="889">
      <c r="X889" s="136"/>
      <c r="Y889" s="136"/>
    </row>
    <row r="890">
      <c r="X890" s="136"/>
      <c r="Y890" s="136"/>
    </row>
    <row r="891">
      <c r="X891" s="136"/>
      <c r="Y891" s="136"/>
    </row>
    <row r="892">
      <c r="X892" s="136"/>
      <c r="Y892" s="136"/>
    </row>
    <row r="893">
      <c r="X893" s="136"/>
      <c r="Y893" s="136"/>
    </row>
    <row r="894">
      <c r="X894" s="136"/>
      <c r="Y894" s="136"/>
    </row>
    <row r="895">
      <c r="X895" s="136"/>
      <c r="Y895" s="136"/>
    </row>
    <row r="896">
      <c r="X896" s="136"/>
      <c r="Y896" s="136"/>
    </row>
    <row r="897">
      <c r="X897" s="136"/>
      <c r="Y897" s="136"/>
    </row>
    <row r="898">
      <c r="X898" s="136"/>
      <c r="Y898" s="136"/>
    </row>
    <row r="899">
      <c r="X899" s="136"/>
      <c r="Y899" s="136"/>
    </row>
    <row r="900">
      <c r="X900" s="136"/>
      <c r="Y900" s="136"/>
    </row>
    <row r="901">
      <c r="X901" s="136"/>
      <c r="Y901" s="136"/>
    </row>
    <row r="902">
      <c r="X902" s="136"/>
      <c r="Y902" s="136"/>
    </row>
    <row r="903">
      <c r="X903" s="136"/>
      <c r="Y903" s="136"/>
    </row>
    <row r="904">
      <c r="X904" s="136"/>
      <c r="Y904" s="136"/>
    </row>
    <row r="905">
      <c r="X905" s="136"/>
      <c r="Y905" s="136"/>
    </row>
    <row r="906">
      <c r="X906" s="136"/>
      <c r="Y906" s="136"/>
    </row>
    <row r="907">
      <c r="X907" s="136"/>
      <c r="Y907" s="136"/>
    </row>
    <row r="908">
      <c r="X908" s="136"/>
      <c r="Y908" s="136"/>
    </row>
    <row r="909">
      <c r="X909" s="136"/>
      <c r="Y909" s="136"/>
    </row>
    <row r="910">
      <c r="X910" s="136"/>
      <c r="Y910" s="136"/>
    </row>
    <row r="911">
      <c r="X911" s="136"/>
      <c r="Y911" s="136"/>
    </row>
    <row r="912">
      <c r="X912" s="136"/>
      <c r="Y912" s="136"/>
    </row>
    <row r="913">
      <c r="X913" s="136"/>
      <c r="Y913" s="136"/>
    </row>
    <row r="914">
      <c r="X914" s="136"/>
      <c r="Y914" s="136"/>
    </row>
    <row r="915">
      <c r="X915" s="136"/>
      <c r="Y915" s="136"/>
    </row>
    <row r="916">
      <c r="X916" s="136"/>
      <c r="Y916" s="136"/>
    </row>
    <row r="917">
      <c r="X917" s="136"/>
      <c r="Y917" s="136"/>
    </row>
    <row r="918">
      <c r="X918" s="136"/>
      <c r="Y918" s="136"/>
    </row>
    <row r="919">
      <c r="X919" s="136"/>
      <c r="Y919" s="136"/>
    </row>
    <row r="920">
      <c r="X920" s="136"/>
      <c r="Y920" s="136"/>
    </row>
    <row r="921">
      <c r="X921" s="136"/>
      <c r="Y921" s="136"/>
    </row>
    <row r="922">
      <c r="X922" s="136"/>
      <c r="Y922" s="136"/>
    </row>
    <row r="923">
      <c r="X923" s="136"/>
      <c r="Y923" s="136"/>
    </row>
    <row r="924">
      <c r="X924" s="136"/>
      <c r="Y924" s="136"/>
    </row>
    <row r="925">
      <c r="X925" s="136"/>
      <c r="Y925" s="136"/>
    </row>
    <row r="926">
      <c r="X926" s="136"/>
      <c r="Y926" s="136"/>
    </row>
    <row r="927">
      <c r="X927" s="136"/>
      <c r="Y927" s="136"/>
    </row>
    <row r="928">
      <c r="X928" s="136"/>
      <c r="Y928" s="136"/>
    </row>
    <row r="929">
      <c r="X929" s="136"/>
      <c r="Y929" s="136"/>
    </row>
    <row r="930">
      <c r="X930" s="136"/>
      <c r="Y930" s="136"/>
    </row>
    <row r="931">
      <c r="X931" s="136"/>
      <c r="Y931" s="136"/>
    </row>
    <row r="932">
      <c r="X932" s="136"/>
      <c r="Y932" s="136"/>
    </row>
    <row r="933">
      <c r="X933" s="136"/>
      <c r="Y933" s="136"/>
    </row>
    <row r="934">
      <c r="X934" s="136"/>
      <c r="Y934" s="136"/>
    </row>
    <row r="935">
      <c r="X935" s="136"/>
      <c r="Y935" s="136"/>
    </row>
    <row r="936">
      <c r="X936" s="136"/>
      <c r="Y936" s="136"/>
    </row>
    <row r="937">
      <c r="X937" s="136"/>
      <c r="Y937" s="136"/>
    </row>
    <row r="938">
      <c r="X938" s="136"/>
      <c r="Y938" s="136"/>
    </row>
    <row r="939">
      <c r="X939" s="136"/>
      <c r="Y939" s="136"/>
    </row>
    <row r="940">
      <c r="X940" s="136"/>
      <c r="Y940" s="136"/>
    </row>
    <row r="941">
      <c r="X941" s="136"/>
      <c r="Y941" s="136"/>
    </row>
    <row r="942">
      <c r="X942" s="136"/>
      <c r="Y942" s="136"/>
    </row>
    <row r="943">
      <c r="X943" s="136"/>
      <c r="Y943" s="136"/>
    </row>
    <row r="944">
      <c r="X944" s="136"/>
      <c r="Y944" s="136"/>
    </row>
    <row r="945">
      <c r="X945" s="136"/>
      <c r="Y945" s="136"/>
    </row>
    <row r="946">
      <c r="X946" s="136"/>
      <c r="Y946" s="136"/>
    </row>
    <row r="947">
      <c r="X947" s="136"/>
      <c r="Y947" s="136"/>
    </row>
    <row r="948">
      <c r="X948" s="136"/>
      <c r="Y948" s="136"/>
    </row>
    <row r="949">
      <c r="X949" s="136"/>
      <c r="Y949" s="136"/>
    </row>
    <row r="950">
      <c r="X950" s="136"/>
      <c r="Y950" s="136"/>
    </row>
    <row r="951">
      <c r="X951" s="136"/>
      <c r="Y951" s="136"/>
    </row>
    <row r="952">
      <c r="X952" s="136"/>
      <c r="Y952" s="136"/>
    </row>
    <row r="953">
      <c r="X953" s="136"/>
      <c r="Y953" s="136"/>
    </row>
    <row r="954">
      <c r="X954" s="136"/>
      <c r="Y954" s="136"/>
    </row>
    <row r="955">
      <c r="X955" s="136"/>
      <c r="Y955" s="136"/>
    </row>
    <row r="956">
      <c r="X956" s="136"/>
      <c r="Y956" s="136"/>
    </row>
    <row r="957">
      <c r="X957" s="136"/>
      <c r="Y957" s="136"/>
    </row>
    <row r="958">
      <c r="X958" s="136"/>
      <c r="Y958" s="136"/>
    </row>
    <row r="959">
      <c r="X959" s="136"/>
      <c r="Y959" s="136"/>
    </row>
    <row r="960">
      <c r="X960" s="136"/>
      <c r="Y960" s="136"/>
    </row>
    <row r="961">
      <c r="X961" s="136"/>
      <c r="Y961" s="136"/>
    </row>
    <row r="962">
      <c r="X962" s="136"/>
      <c r="Y962" s="136"/>
    </row>
    <row r="963">
      <c r="X963" s="136"/>
      <c r="Y963" s="136"/>
    </row>
    <row r="964">
      <c r="X964" s="136"/>
      <c r="Y964" s="136"/>
    </row>
    <row r="965">
      <c r="X965" s="136"/>
      <c r="Y965" s="136"/>
    </row>
    <row r="966">
      <c r="X966" s="136"/>
      <c r="Y966" s="136"/>
    </row>
    <row r="967">
      <c r="X967" s="136"/>
      <c r="Y967" s="136"/>
    </row>
    <row r="968">
      <c r="X968" s="136"/>
      <c r="Y968" s="136"/>
    </row>
    <row r="969">
      <c r="X969" s="136"/>
      <c r="Y969" s="136"/>
    </row>
    <row r="970">
      <c r="X970" s="136"/>
      <c r="Y970" s="136"/>
    </row>
    <row r="971">
      <c r="X971" s="136"/>
      <c r="Y971" s="136"/>
    </row>
    <row r="972">
      <c r="X972" s="136"/>
      <c r="Y972" s="136"/>
    </row>
    <row r="973">
      <c r="X973" s="136"/>
      <c r="Y973" s="136"/>
    </row>
    <row r="974">
      <c r="X974" s="136"/>
      <c r="Y974" s="136"/>
    </row>
    <row r="975">
      <c r="X975" s="136"/>
      <c r="Y975" s="136"/>
    </row>
    <row r="976">
      <c r="X976" s="136"/>
      <c r="Y976" s="136"/>
    </row>
    <row r="977">
      <c r="X977" s="136"/>
      <c r="Y977" s="136"/>
    </row>
    <row r="978">
      <c r="X978" s="136"/>
      <c r="Y978" s="136"/>
    </row>
    <row r="979">
      <c r="X979" s="136"/>
      <c r="Y979" s="136"/>
    </row>
    <row r="980">
      <c r="X980" s="136"/>
      <c r="Y980" s="136"/>
    </row>
    <row r="981">
      <c r="X981" s="136"/>
      <c r="Y981" s="136"/>
    </row>
    <row r="982">
      <c r="X982" s="136"/>
      <c r="Y982" s="136"/>
    </row>
    <row r="983">
      <c r="X983" s="136"/>
      <c r="Y983" s="136"/>
    </row>
    <row r="984">
      <c r="X984" s="136"/>
      <c r="Y984" s="136"/>
    </row>
    <row r="985">
      <c r="X985" s="136"/>
      <c r="Y985" s="136"/>
    </row>
    <row r="986">
      <c r="X986" s="136"/>
      <c r="Y986" s="136"/>
    </row>
    <row r="987">
      <c r="X987" s="136"/>
      <c r="Y987" s="136"/>
    </row>
    <row r="988">
      <c r="X988" s="136"/>
      <c r="Y988" s="136"/>
    </row>
    <row r="989">
      <c r="X989" s="136"/>
      <c r="Y989" s="136"/>
    </row>
    <row r="990">
      <c r="X990" s="136"/>
      <c r="Y990" s="136"/>
    </row>
    <row r="991">
      <c r="X991" s="136"/>
      <c r="Y991" s="136"/>
    </row>
    <row r="992">
      <c r="X992" s="136"/>
      <c r="Y992" s="136"/>
    </row>
    <row r="993">
      <c r="X993" s="136"/>
      <c r="Y993" s="136"/>
    </row>
    <row r="994">
      <c r="X994" s="136"/>
      <c r="Y994" s="136"/>
    </row>
    <row r="995">
      <c r="X995" s="136"/>
      <c r="Y995" s="136"/>
    </row>
    <row r="996">
      <c r="X996" s="136"/>
      <c r="Y996" s="136"/>
    </row>
    <row r="997">
      <c r="X997" s="136"/>
      <c r="Y997" s="136"/>
    </row>
    <row r="998">
      <c r="X998" s="136"/>
      <c r="Y998" s="136"/>
    </row>
    <row r="999">
      <c r="X999" s="136"/>
      <c r="Y999" s="136"/>
    </row>
    <row r="1000">
      <c r="X1000" s="136"/>
      <c r="Y1000" s="136"/>
    </row>
  </sheetData>
  <conditionalFormatting sqref="Y16:Y27">
    <cfRule type="cellIs" dxfId="6" priority="1" operator="greaterThan">
      <formula>0</formula>
    </cfRule>
  </conditionalFormatting>
  <conditionalFormatting sqref="Y16:Y27">
    <cfRule type="cellIs" dxfId="9" priority="2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1.13"/>
  </cols>
  <sheetData>
    <row r="2">
      <c r="B2" s="171" t="s">
        <v>597</v>
      </c>
      <c r="C2" s="171" t="s">
        <v>598</v>
      </c>
    </row>
    <row r="3">
      <c r="B3" s="171" t="s">
        <v>599</v>
      </c>
    </row>
    <row r="4">
      <c r="B4" s="171" t="s">
        <v>600</v>
      </c>
      <c r="C4" s="171" t="s">
        <v>601</v>
      </c>
    </row>
    <row r="5">
      <c r="B5" s="171" t="s">
        <v>602</v>
      </c>
    </row>
    <row r="6">
      <c r="B6" s="171" t="s">
        <v>603</v>
      </c>
    </row>
    <row r="7">
      <c r="B7" s="171" t="s">
        <v>604</v>
      </c>
      <c r="C7" s="171" t="s">
        <v>605</v>
      </c>
    </row>
    <row r="8">
      <c r="B8" s="171" t="s">
        <v>606</v>
      </c>
      <c r="C8" s="171" t="s">
        <v>607</v>
      </c>
    </row>
    <row r="9">
      <c r="B9" s="171" t="s">
        <v>608</v>
      </c>
    </row>
    <row r="10">
      <c r="B10" s="171" t="s">
        <v>609</v>
      </c>
    </row>
    <row r="11">
      <c r="B11" s="171" t="s">
        <v>610</v>
      </c>
      <c r="C11" s="171" t="s">
        <v>611</v>
      </c>
    </row>
    <row r="12">
      <c r="B12" s="171" t="s">
        <v>612</v>
      </c>
      <c r="C12" s="171" t="s">
        <v>613</v>
      </c>
    </row>
    <row r="13">
      <c r="B13" s="171" t="s">
        <v>614</v>
      </c>
    </row>
    <row r="14">
      <c r="B14" s="171" t="s">
        <v>615</v>
      </c>
      <c r="C14" s="171" t="s">
        <v>616</v>
      </c>
    </row>
    <row r="15">
      <c r="B15" s="171" t="s">
        <v>617</v>
      </c>
      <c r="C15" s="171" t="s">
        <v>618</v>
      </c>
    </row>
    <row r="16">
      <c r="B16" s="171" t="s">
        <v>619</v>
      </c>
      <c r="C16" s="171" t="s">
        <v>620</v>
      </c>
    </row>
    <row r="17">
      <c r="B17" s="171" t="s">
        <v>621</v>
      </c>
      <c r="C17" s="171" t="s">
        <v>622</v>
      </c>
    </row>
    <row r="18">
      <c r="B18" s="171" t="s">
        <v>623</v>
      </c>
      <c r="C18" s="171" t="s">
        <v>624</v>
      </c>
    </row>
    <row r="19">
      <c r="B19" s="171" t="s">
        <v>625</v>
      </c>
      <c r="C19" s="171" t="s">
        <v>626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75"/>
    <col customWidth="1" min="3" max="3" width="7.13"/>
    <col customWidth="1" min="4" max="4" width="7.38"/>
    <col customWidth="1" min="5" max="5" width="1.0"/>
    <col customWidth="1" min="6" max="6" width="8.88"/>
    <col customWidth="1" min="7" max="7" width="6.63"/>
    <col customWidth="1" min="8" max="9" width="6.88"/>
    <col customWidth="1" min="10" max="10" width="0.75"/>
    <col customWidth="1" min="11" max="11" width="8.25"/>
    <col customWidth="1" min="12" max="12" width="9.13"/>
    <col customWidth="1" min="13" max="13" width="9.63"/>
    <col customWidth="1" min="14" max="14" width="9.88"/>
    <col customWidth="1" min="15" max="15" width="0.88"/>
    <col customWidth="1" min="16" max="16" width="8.25"/>
    <col customWidth="1" min="17" max="17" width="10.13"/>
    <col customWidth="1" min="18" max="18" width="9.38"/>
    <col customWidth="1" min="19" max="19" width="9.63"/>
    <col customWidth="1" min="20" max="20" width="6.75"/>
    <col customWidth="1" min="21" max="21" width="8.25"/>
    <col customWidth="1" min="22" max="22" width="9.38"/>
    <col customWidth="1" min="23" max="23" width="9.75"/>
  </cols>
  <sheetData>
    <row r="1">
      <c r="A1" s="159" t="s">
        <v>514</v>
      </c>
      <c r="B1" s="159" t="s">
        <v>590</v>
      </c>
      <c r="C1" s="159" t="s">
        <v>591</v>
      </c>
      <c r="D1" s="159" t="s">
        <v>592</v>
      </c>
      <c r="E1" s="160"/>
      <c r="F1" s="161" t="s">
        <v>513</v>
      </c>
      <c r="G1" s="159" t="s">
        <v>590</v>
      </c>
      <c r="H1" s="159" t="s">
        <v>591</v>
      </c>
      <c r="I1" s="159" t="s">
        <v>592</v>
      </c>
      <c r="J1" s="160"/>
      <c r="K1" s="161" t="s">
        <v>512</v>
      </c>
      <c r="L1" s="159" t="s">
        <v>590</v>
      </c>
      <c r="M1" s="159" t="s">
        <v>591</v>
      </c>
      <c r="N1" s="159" t="s">
        <v>592</v>
      </c>
      <c r="O1" s="160"/>
      <c r="P1" s="161" t="s">
        <v>511</v>
      </c>
      <c r="Q1" s="159" t="s">
        <v>590</v>
      </c>
      <c r="R1" s="159" t="s">
        <v>591</v>
      </c>
      <c r="S1" s="159" t="s">
        <v>592</v>
      </c>
      <c r="T1" s="162"/>
      <c r="U1" s="162"/>
      <c r="V1" s="159" t="s">
        <v>591</v>
      </c>
      <c r="W1" s="159" t="s">
        <v>592</v>
      </c>
      <c r="X1" s="159" t="s">
        <v>593</v>
      </c>
      <c r="Y1" s="170" t="s">
        <v>594</v>
      </c>
    </row>
    <row r="2">
      <c r="A2" s="161" t="s">
        <v>245</v>
      </c>
      <c r="B2" s="159">
        <v>159.48</v>
      </c>
      <c r="C2" s="159">
        <v>11.0</v>
      </c>
      <c r="D2" s="159">
        <v>0.0</v>
      </c>
      <c r="E2" s="160"/>
      <c r="F2" s="161" t="s">
        <v>152</v>
      </c>
      <c r="G2" s="159">
        <v>148.34</v>
      </c>
      <c r="H2" s="159">
        <v>11.0</v>
      </c>
      <c r="I2" s="159">
        <v>0.0</v>
      </c>
      <c r="J2" s="160"/>
      <c r="K2" s="161" t="s">
        <v>125</v>
      </c>
      <c r="L2" s="159">
        <v>170.82</v>
      </c>
      <c r="M2" s="159">
        <v>11.0</v>
      </c>
      <c r="N2" s="159">
        <v>0.0</v>
      </c>
      <c r="O2" s="160"/>
      <c r="P2" s="161" t="s">
        <v>174</v>
      </c>
      <c r="Q2" s="159">
        <v>157.18</v>
      </c>
      <c r="R2" s="159">
        <v>11.0</v>
      </c>
      <c r="S2" s="159">
        <v>0.0</v>
      </c>
      <c r="T2" s="162"/>
      <c r="U2" s="161" t="s">
        <v>100</v>
      </c>
      <c r="V2" s="159">
        <v>94.0</v>
      </c>
      <c r="W2" s="159">
        <v>60.0</v>
      </c>
      <c r="X2" s="163">
        <v>0.6104</v>
      </c>
      <c r="Y2" s="159">
        <v>0.45</v>
      </c>
    </row>
    <row r="3">
      <c r="A3" s="161" t="s">
        <v>420</v>
      </c>
      <c r="B3" s="159">
        <v>141.06</v>
      </c>
      <c r="C3" s="159">
        <v>10.0</v>
      </c>
      <c r="D3" s="159">
        <v>1.0</v>
      </c>
      <c r="E3" s="160"/>
      <c r="F3" s="161" t="s">
        <v>100</v>
      </c>
      <c r="G3" s="159">
        <v>147.9</v>
      </c>
      <c r="H3" s="159">
        <v>10.0</v>
      </c>
      <c r="I3" s="159">
        <v>1.0</v>
      </c>
      <c r="J3" s="160"/>
      <c r="K3" s="161" t="s">
        <v>100</v>
      </c>
      <c r="L3" s="159">
        <v>135.72</v>
      </c>
      <c r="M3" s="159">
        <v>10.0</v>
      </c>
      <c r="N3" s="159">
        <v>1.0</v>
      </c>
      <c r="O3" s="160"/>
      <c r="P3" s="161" t="s">
        <v>420</v>
      </c>
      <c r="Q3" s="159">
        <v>148.98</v>
      </c>
      <c r="R3" s="159">
        <v>10.0</v>
      </c>
      <c r="S3" s="159">
        <v>1.0</v>
      </c>
      <c r="T3" s="162"/>
      <c r="U3" s="161" t="s">
        <v>174</v>
      </c>
      <c r="V3" s="159">
        <v>93.0</v>
      </c>
      <c r="W3" s="159">
        <v>61.0</v>
      </c>
      <c r="X3" s="163">
        <v>0.6039</v>
      </c>
      <c r="Y3" s="159">
        <v>0.55</v>
      </c>
    </row>
    <row r="4">
      <c r="A4" s="161" t="s">
        <v>596</v>
      </c>
      <c r="B4" s="159">
        <v>136.94</v>
      </c>
      <c r="C4" s="159">
        <v>9.0</v>
      </c>
      <c r="D4" s="159">
        <v>2.0</v>
      </c>
      <c r="E4" s="160"/>
      <c r="F4" s="161" t="s">
        <v>174</v>
      </c>
      <c r="G4" s="159">
        <v>143.34</v>
      </c>
      <c r="H4" s="159">
        <v>9.0</v>
      </c>
      <c r="I4" s="159">
        <v>2.0</v>
      </c>
      <c r="J4" s="160"/>
      <c r="K4" s="161" t="s">
        <v>152</v>
      </c>
      <c r="L4" s="159">
        <v>133.26</v>
      </c>
      <c r="M4" s="159">
        <v>9.0</v>
      </c>
      <c r="N4" s="159">
        <v>2.0</v>
      </c>
      <c r="O4" s="160"/>
      <c r="P4" s="161" t="s">
        <v>481</v>
      </c>
      <c r="Q4" s="159">
        <v>146.18</v>
      </c>
      <c r="R4" s="159">
        <v>9.0</v>
      </c>
      <c r="S4" s="159">
        <v>2.0</v>
      </c>
      <c r="T4" s="162"/>
      <c r="U4" s="161" t="s">
        <v>341</v>
      </c>
      <c r="V4" s="159">
        <v>92.0</v>
      </c>
      <c r="W4" s="159">
        <v>62.0</v>
      </c>
      <c r="X4" s="163">
        <v>0.5974</v>
      </c>
      <c r="Y4" s="159">
        <v>-0.36</v>
      </c>
    </row>
    <row r="5">
      <c r="A5" s="161" t="s">
        <v>481</v>
      </c>
      <c r="B5" s="159">
        <v>128.12</v>
      </c>
      <c r="C5" s="159">
        <v>8.0</v>
      </c>
      <c r="D5" s="159">
        <v>3.0</v>
      </c>
      <c r="E5" s="160"/>
      <c r="F5" s="161" t="s">
        <v>341</v>
      </c>
      <c r="G5" s="159">
        <v>142.84</v>
      </c>
      <c r="H5" s="159">
        <v>8.0</v>
      </c>
      <c r="I5" s="159">
        <v>3.0</v>
      </c>
      <c r="J5" s="160"/>
      <c r="K5" s="161" t="s">
        <v>221</v>
      </c>
      <c r="L5" s="159">
        <v>128.16</v>
      </c>
      <c r="M5" s="159">
        <v>8.0</v>
      </c>
      <c r="N5" s="159">
        <v>3.0</v>
      </c>
      <c r="O5" s="160"/>
      <c r="P5" s="161" t="s">
        <v>152</v>
      </c>
      <c r="Q5" s="159">
        <v>136.14</v>
      </c>
      <c r="R5" s="159">
        <v>8.0</v>
      </c>
      <c r="S5" s="159">
        <v>3.0</v>
      </c>
      <c r="T5" s="162"/>
      <c r="U5" s="161" t="s">
        <v>420</v>
      </c>
      <c r="V5" s="159">
        <v>88.0</v>
      </c>
      <c r="W5" s="159">
        <v>66.0</v>
      </c>
      <c r="X5" s="163">
        <v>0.5714</v>
      </c>
      <c r="Y5" s="159">
        <v>0.0</v>
      </c>
    </row>
    <row r="6">
      <c r="A6" s="161" t="s">
        <v>100</v>
      </c>
      <c r="B6" s="159">
        <v>120.14</v>
      </c>
      <c r="C6" s="159">
        <v>7.0</v>
      </c>
      <c r="D6" s="159">
        <v>4.0</v>
      </c>
      <c r="E6" s="160"/>
      <c r="F6" s="161" t="s">
        <v>221</v>
      </c>
      <c r="G6" s="159">
        <v>135.02</v>
      </c>
      <c r="H6" s="159">
        <v>7.0</v>
      </c>
      <c r="I6" s="159">
        <v>4.0</v>
      </c>
      <c r="J6" s="160"/>
      <c r="K6" s="161" t="s">
        <v>199</v>
      </c>
      <c r="L6" s="159">
        <v>120.4</v>
      </c>
      <c r="M6" s="159">
        <v>7.0</v>
      </c>
      <c r="N6" s="159">
        <v>4.0</v>
      </c>
      <c r="O6" s="160"/>
      <c r="P6" s="161" t="s">
        <v>100</v>
      </c>
      <c r="Q6" s="159">
        <v>133.2</v>
      </c>
      <c r="R6" s="159">
        <v>7.0</v>
      </c>
      <c r="S6" s="159">
        <v>4.0</v>
      </c>
      <c r="T6" s="161" t="s">
        <v>595</v>
      </c>
      <c r="U6" s="161" t="s">
        <v>125</v>
      </c>
      <c r="V6" s="159">
        <v>84.0</v>
      </c>
      <c r="W6" s="159">
        <v>70.0</v>
      </c>
      <c r="X6" s="163">
        <v>0.5455</v>
      </c>
      <c r="Y6" s="164">
        <v>2.36</v>
      </c>
    </row>
    <row r="7">
      <c r="A7" s="161" t="s">
        <v>125</v>
      </c>
      <c r="B7" s="159">
        <v>114.04</v>
      </c>
      <c r="C7" s="159">
        <v>6.0</v>
      </c>
      <c r="D7" s="159">
        <v>5.0</v>
      </c>
      <c r="E7" s="160"/>
      <c r="F7" s="161" t="s">
        <v>481</v>
      </c>
      <c r="G7" s="159">
        <v>132.46</v>
      </c>
      <c r="H7" s="159">
        <v>6.0</v>
      </c>
      <c r="I7" s="159">
        <v>5.0</v>
      </c>
      <c r="J7" s="160"/>
      <c r="K7" s="161" t="s">
        <v>421</v>
      </c>
      <c r="L7" s="159">
        <v>115.32</v>
      </c>
      <c r="M7" s="159">
        <v>6.0</v>
      </c>
      <c r="N7" s="159">
        <v>5.0</v>
      </c>
      <c r="O7" s="160"/>
      <c r="P7" s="161" t="s">
        <v>125</v>
      </c>
      <c r="Q7" s="159">
        <v>130.82</v>
      </c>
      <c r="R7" s="159">
        <v>6.0</v>
      </c>
      <c r="S7" s="159">
        <v>5.0</v>
      </c>
      <c r="T7" s="162"/>
      <c r="U7" s="161" t="s">
        <v>152</v>
      </c>
      <c r="V7" s="159">
        <v>80.0</v>
      </c>
      <c r="W7" s="159">
        <v>74.0</v>
      </c>
      <c r="X7" s="163">
        <v>0.5195</v>
      </c>
      <c r="Y7" s="164">
        <v>0.73</v>
      </c>
    </row>
    <row r="8">
      <c r="A8" s="161" t="s">
        <v>152</v>
      </c>
      <c r="B8" s="159">
        <v>110.88</v>
      </c>
      <c r="C8" s="159">
        <v>5.0</v>
      </c>
      <c r="D8" s="159">
        <v>6.0</v>
      </c>
      <c r="E8" s="160"/>
      <c r="F8" s="161" t="s">
        <v>199</v>
      </c>
      <c r="G8" s="159">
        <v>121.26</v>
      </c>
      <c r="H8" s="159">
        <v>5.0</v>
      </c>
      <c r="I8" s="159">
        <v>6.0</v>
      </c>
      <c r="J8" s="160"/>
      <c r="K8" s="161" t="s">
        <v>174</v>
      </c>
      <c r="L8" s="159">
        <v>114.1</v>
      </c>
      <c r="M8" s="159">
        <v>5.0</v>
      </c>
      <c r="N8" s="159">
        <v>6.0</v>
      </c>
      <c r="O8" s="160"/>
      <c r="P8" s="161" t="s">
        <v>596</v>
      </c>
      <c r="Q8" s="159">
        <v>129.86</v>
      </c>
      <c r="R8" s="159">
        <v>5.0</v>
      </c>
      <c r="S8" s="159">
        <v>6.0</v>
      </c>
      <c r="T8" s="162"/>
      <c r="U8" s="161" t="s">
        <v>596</v>
      </c>
      <c r="V8" s="159">
        <v>79.0</v>
      </c>
      <c r="W8" s="159">
        <v>75.0</v>
      </c>
      <c r="X8" s="163">
        <v>0.513</v>
      </c>
      <c r="Y8" s="164">
        <v>1.82</v>
      </c>
    </row>
    <row r="9">
      <c r="A9" s="161" t="s">
        <v>341</v>
      </c>
      <c r="B9" s="159">
        <v>107.5</v>
      </c>
      <c r="C9" s="159">
        <v>4.0</v>
      </c>
      <c r="D9" s="159">
        <v>7.0</v>
      </c>
      <c r="E9" s="160"/>
      <c r="F9" s="161" t="s">
        <v>420</v>
      </c>
      <c r="G9" s="159">
        <v>114.9</v>
      </c>
      <c r="H9" s="159">
        <v>4.0</v>
      </c>
      <c r="I9" s="159">
        <v>7.0</v>
      </c>
      <c r="J9" s="160"/>
      <c r="K9" s="161" t="s">
        <v>420</v>
      </c>
      <c r="L9" s="159">
        <v>113.74</v>
      </c>
      <c r="M9" s="159">
        <v>4.0</v>
      </c>
      <c r="N9" s="159">
        <v>7.0</v>
      </c>
      <c r="O9" s="160"/>
      <c r="P9" s="161" t="s">
        <v>221</v>
      </c>
      <c r="Q9" s="159">
        <v>119.04</v>
      </c>
      <c r="R9" s="159">
        <v>4.0</v>
      </c>
      <c r="S9" s="159">
        <v>7.0</v>
      </c>
      <c r="T9" s="162"/>
      <c r="U9" s="161" t="s">
        <v>199</v>
      </c>
      <c r="V9" s="159">
        <v>78.0</v>
      </c>
      <c r="W9" s="159">
        <v>76.0</v>
      </c>
      <c r="X9" s="163">
        <v>0.5065</v>
      </c>
      <c r="Y9" s="165">
        <v>-1.09</v>
      </c>
    </row>
    <row r="10">
      <c r="A10" s="161" t="s">
        <v>199</v>
      </c>
      <c r="B10" s="159">
        <v>102.54</v>
      </c>
      <c r="C10" s="159">
        <v>3.0</v>
      </c>
      <c r="D10" s="159">
        <v>8.0</v>
      </c>
      <c r="E10" s="160"/>
      <c r="F10" s="161" t="s">
        <v>421</v>
      </c>
      <c r="G10" s="159">
        <v>103.2</v>
      </c>
      <c r="H10" s="159">
        <v>3.0</v>
      </c>
      <c r="I10" s="159">
        <v>8.0</v>
      </c>
      <c r="J10" s="160"/>
      <c r="K10" s="161" t="s">
        <v>596</v>
      </c>
      <c r="L10" s="159">
        <v>112.12</v>
      </c>
      <c r="M10" s="159">
        <v>3.0</v>
      </c>
      <c r="N10" s="159">
        <v>8.0</v>
      </c>
      <c r="O10" s="160"/>
      <c r="P10" s="161" t="s">
        <v>421</v>
      </c>
      <c r="Q10" s="159">
        <v>100.1</v>
      </c>
      <c r="R10" s="159">
        <v>3.0</v>
      </c>
      <c r="S10" s="159">
        <v>8.0</v>
      </c>
      <c r="T10" s="162"/>
      <c r="U10" s="161" t="s">
        <v>221</v>
      </c>
      <c r="V10" s="159">
        <v>74.0</v>
      </c>
      <c r="W10" s="159">
        <v>80.0</v>
      </c>
      <c r="X10" s="163">
        <v>0.4805</v>
      </c>
      <c r="Y10" s="165">
        <v>-1.73</v>
      </c>
    </row>
    <row r="11">
      <c r="A11" s="161" t="s">
        <v>174</v>
      </c>
      <c r="B11" s="159">
        <v>93.22</v>
      </c>
      <c r="C11" s="159">
        <v>2.0</v>
      </c>
      <c r="D11" s="159">
        <v>9.0</v>
      </c>
      <c r="E11" s="160"/>
      <c r="F11" s="161" t="s">
        <v>125</v>
      </c>
      <c r="G11" s="159">
        <v>85.84</v>
      </c>
      <c r="H11" s="159">
        <v>2.0</v>
      </c>
      <c r="I11" s="159">
        <v>9.0</v>
      </c>
      <c r="J11" s="160"/>
      <c r="K11" s="161" t="s">
        <v>341</v>
      </c>
      <c r="L11" s="159">
        <v>100.96</v>
      </c>
      <c r="M11" s="159">
        <v>2.0</v>
      </c>
      <c r="N11" s="159">
        <v>9.0</v>
      </c>
      <c r="O11" s="160"/>
      <c r="P11" s="161" t="s">
        <v>341</v>
      </c>
      <c r="Q11" s="159">
        <v>94.28</v>
      </c>
      <c r="R11" s="159">
        <v>2.0</v>
      </c>
      <c r="S11" s="159">
        <v>9.0</v>
      </c>
      <c r="T11" s="162"/>
      <c r="U11" s="161" t="s">
        <v>421</v>
      </c>
      <c r="V11" s="159">
        <v>68.0</v>
      </c>
      <c r="W11" s="159">
        <v>86.0</v>
      </c>
      <c r="X11" s="163">
        <v>0.4416</v>
      </c>
      <c r="Y11" s="165">
        <v>-1.18</v>
      </c>
    </row>
    <row r="12">
      <c r="A12" s="161" t="s">
        <v>421</v>
      </c>
      <c r="B12" s="159">
        <v>92.12</v>
      </c>
      <c r="C12" s="159">
        <v>1.0</v>
      </c>
      <c r="D12" s="159">
        <v>10.0</v>
      </c>
      <c r="E12" s="160"/>
      <c r="F12" s="161" t="s">
        <v>245</v>
      </c>
      <c r="G12" s="159">
        <v>82.84</v>
      </c>
      <c r="H12" s="159">
        <v>1.0</v>
      </c>
      <c r="I12" s="159">
        <v>10.0</v>
      </c>
      <c r="J12" s="160"/>
      <c r="K12" s="161" t="s">
        <v>481</v>
      </c>
      <c r="L12" s="159">
        <v>92.66</v>
      </c>
      <c r="M12" s="159">
        <v>1.0</v>
      </c>
      <c r="N12" s="159">
        <v>10.0</v>
      </c>
      <c r="O12" s="160"/>
      <c r="P12" s="161" t="s">
        <v>245</v>
      </c>
      <c r="Q12" s="159">
        <v>91.32</v>
      </c>
      <c r="R12" s="159">
        <v>1.0</v>
      </c>
      <c r="S12" s="159">
        <v>10.0</v>
      </c>
      <c r="T12" s="162"/>
      <c r="U12" s="161" t="s">
        <v>481</v>
      </c>
      <c r="V12" s="159">
        <v>60.0</v>
      </c>
      <c r="W12" s="159">
        <v>94.0</v>
      </c>
      <c r="X12" s="163">
        <v>0.3896</v>
      </c>
      <c r="Y12" s="165">
        <v>-2.45</v>
      </c>
    </row>
    <row r="13">
      <c r="A13" s="161" t="s">
        <v>221</v>
      </c>
      <c r="B13" s="159">
        <v>90.82</v>
      </c>
      <c r="C13" s="159">
        <v>0.0</v>
      </c>
      <c r="D13" s="159">
        <v>11.0</v>
      </c>
      <c r="E13" s="160"/>
      <c r="F13" s="161" t="s">
        <v>596</v>
      </c>
      <c r="G13" s="159">
        <v>77.66</v>
      </c>
      <c r="H13" s="159">
        <v>0.0</v>
      </c>
      <c r="I13" s="159">
        <v>11.0</v>
      </c>
      <c r="J13" s="160"/>
      <c r="K13" s="161" t="s">
        <v>245</v>
      </c>
      <c r="L13" s="159">
        <v>81.74</v>
      </c>
      <c r="M13" s="159">
        <v>0.0</v>
      </c>
      <c r="N13" s="159">
        <v>11.0</v>
      </c>
      <c r="O13" s="160"/>
      <c r="P13" s="161" t="s">
        <v>199</v>
      </c>
      <c r="Q13" s="159">
        <v>86.48</v>
      </c>
      <c r="R13" s="159">
        <v>0.0</v>
      </c>
      <c r="S13" s="159">
        <v>11.0</v>
      </c>
      <c r="T13" s="162"/>
      <c r="U13" s="161" t="s">
        <v>245</v>
      </c>
      <c r="V13" s="159">
        <v>34.0</v>
      </c>
      <c r="W13" s="159">
        <v>120.0</v>
      </c>
      <c r="X13" s="163">
        <v>0.2208</v>
      </c>
      <c r="Y13" s="164">
        <v>0.91</v>
      </c>
    </row>
    <row r="14">
      <c r="A14" s="162"/>
      <c r="B14" s="162"/>
      <c r="C14" s="162"/>
      <c r="D14" s="166"/>
      <c r="E14" s="160"/>
      <c r="F14" s="162"/>
      <c r="G14" s="162"/>
      <c r="H14" s="162"/>
      <c r="I14" s="162"/>
      <c r="J14" s="160"/>
      <c r="K14" s="162"/>
      <c r="L14" s="162"/>
      <c r="M14" s="162"/>
      <c r="N14" s="162"/>
      <c r="O14" s="160"/>
      <c r="P14" s="162"/>
      <c r="Q14" s="162"/>
      <c r="R14" s="162"/>
      <c r="S14" s="162"/>
      <c r="T14" s="162"/>
      <c r="U14" s="162"/>
      <c r="V14" s="162"/>
      <c r="W14" s="162"/>
      <c r="X14" s="162"/>
      <c r="Y14" s="162"/>
    </row>
    <row r="15">
      <c r="A15" s="162"/>
      <c r="B15" s="162"/>
      <c r="C15" s="162"/>
      <c r="D15" s="166"/>
      <c r="E15" s="160"/>
      <c r="F15" s="162"/>
      <c r="G15" s="162"/>
      <c r="H15" s="162"/>
      <c r="I15" s="162"/>
      <c r="J15" s="160"/>
      <c r="K15" s="162"/>
      <c r="L15" s="162"/>
      <c r="M15" s="162"/>
      <c r="N15" s="162"/>
      <c r="O15" s="160"/>
      <c r="P15" s="162"/>
      <c r="Q15" s="162"/>
      <c r="R15" s="162"/>
      <c r="S15" s="162"/>
      <c r="T15" s="162"/>
      <c r="U15" s="166"/>
      <c r="V15" s="162"/>
      <c r="W15" s="162"/>
      <c r="X15" s="162"/>
      <c r="Y15" s="162"/>
    </row>
    <row r="16">
      <c r="A16" s="161" t="s">
        <v>510</v>
      </c>
      <c r="B16" s="159" t="s">
        <v>590</v>
      </c>
      <c r="C16" s="159" t="s">
        <v>591</v>
      </c>
      <c r="D16" s="159" t="s">
        <v>592</v>
      </c>
      <c r="E16" s="160"/>
      <c r="F16" s="161" t="s">
        <v>509</v>
      </c>
      <c r="G16" s="159" t="s">
        <v>590</v>
      </c>
      <c r="H16" s="159" t="s">
        <v>591</v>
      </c>
      <c r="I16" s="159" t="s">
        <v>592</v>
      </c>
      <c r="J16" s="160"/>
      <c r="K16" s="161" t="s">
        <v>508</v>
      </c>
      <c r="L16" s="159" t="s">
        <v>590</v>
      </c>
      <c r="M16" s="159" t="s">
        <v>591</v>
      </c>
      <c r="N16" s="159" t="s">
        <v>592</v>
      </c>
      <c r="O16" s="160"/>
      <c r="P16" s="161" t="s">
        <v>507</v>
      </c>
      <c r="Q16" s="159" t="s">
        <v>590</v>
      </c>
      <c r="R16" s="159" t="s">
        <v>591</v>
      </c>
      <c r="S16" s="159" t="s">
        <v>592</v>
      </c>
      <c r="T16" s="162"/>
      <c r="U16" s="161" t="s">
        <v>100</v>
      </c>
      <c r="V16" s="159">
        <v>9.0</v>
      </c>
      <c r="W16" s="159">
        <v>5.0</v>
      </c>
      <c r="X16" s="163">
        <v>0.6429</v>
      </c>
      <c r="Y16" s="163">
        <v>0.0325</v>
      </c>
    </row>
    <row r="17">
      <c r="A17" s="161" t="s">
        <v>421</v>
      </c>
      <c r="B17" s="159">
        <v>197.52</v>
      </c>
      <c r="C17" s="159">
        <v>11.0</v>
      </c>
      <c r="D17" s="159">
        <v>0.0</v>
      </c>
      <c r="E17" s="160"/>
      <c r="F17" s="161" t="s">
        <v>341</v>
      </c>
      <c r="G17" s="159">
        <v>150.5</v>
      </c>
      <c r="H17" s="159">
        <v>11.0</v>
      </c>
      <c r="I17" s="159">
        <v>0.0</v>
      </c>
      <c r="J17" s="160"/>
      <c r="K17" s="161" t="s">
        <v>152</v>
      </c>
      <c r="L17" s="159">
        <v>179.2</v>
      </c>
      <c r="M17" s="159">
        <v>11.0</v>
      </c>
      <c r="N17" s="159">
        <v>0.0</v>
      </c>
      <c r="O17" s="160"/>
      <c r="P17" s="172" t="s">
        <v>100</v>
      </c>
      <c r="Q17" s="173">
        <v>189.22</v>
      </c>
      <c r="R17" s="173">
        <v>11.0</v>
      </c>
      <c r="S17" s="173">
        <v>0.0</v>
      </c>
      <c r="T17" s="162"/>
      <c r="U17" s="161" t="s">
        <v>174</v>
      </c>
      <c r="V17" s="159">
        <v>9.0</v>
      </c>
      <c r="W17" s="159">
        <v>5.0</v>
      </c>
      <c r="X17" s="163">
        <v>0.6429</v>
      </c>
      <c r="Y17" s="168">
        <v>0.039</v>
      </c>
    </row>
    <row r="18">
      <c r="A18" s="161" t="s">
        <v>174</v>
      </c>
      <c r="B18" s="159">
        <v>161.8</v>
      </c>
      <c r="C18" s="159">
        <v>10.0</v>
      </c>
      <c r="D18" s="159">
        <v>1.0</v>
      </c>
      <c r="E18" s="160"/>
      <c r="F18" s="161" t="s">
        <v>596</v>
      </c>
      <c r="G18" s="159">
        <v>150.38</v>
      </c>
      <c r="H18" s="159">
        <v>10.0</v>
      </c>
      <c r="I18" s="159">
        <v>1.0</v>
      </c>
      <c r="J18" s="160"/>
      <c r="K18" s="161" t="s">
        <v>174</v>
      </c>
      <c r="L18" s="159">
        <v>133.48</v>
      </c>
      <c r="M18" s="159">
        <v>10.0</v>
      </c>
      <c r="N18" s="159">
        <v>1.0</v>
      </c>
      <c r="O18" s="160"/>
      <c r="P18" s="172" t="s">
        <v>341</v>
      </c>
      <c r="Q18" s="173">
        <v>164.5</v>
      </c>
      <c r="R18" s="173">
        <v>10.0</v>
      </c>
      <c r="S18" s="173">
        <v>1.0</v>
      </c>
      <c r="T18" s="162"/>
      <c r="U18" s="161" t="s">
        <v>341</v>
      </c>
      <c r="V18" s="159">
        <v>8.0</v>
      </c>
      <c r="W18" s="159">
        <v>6.0</v>
      </c>
      <c r="X18" s="163">
        <v>0.5714</v>
      </c>
      <c r="Y18" s="163">
        <v>-0.026</v>
      </c>
    </row>
    <row r="19">
      <c r="A19" s="161" t="s">
        <v>420</v>
      </c>
      <c r="B19" s="159">
        <v>154.6</v>
      </c>
      <c r="C19" s="159">
        <v>9.0</v>
      </c>
      <c r="D19" s="159">
        <v>2.0</v>
      </c>
      <c r="E19" s="160"/>
      <c r="F19" s="161" t="s">
        <v>199</v>
      </c>
      <c r="G19" s="159">
        <v>145.88</v>
      </c>
      <c r="H19" s="159">
        <v>9.0</v>
      </c>
      <c r="I19" s="159">
        <v>2.0</v>
      </c>
      <c r="J19" s="160"/>
      <c r="K19" s="161" t="s">
        <v>221</v>
      </c>
      <c r="L19" s="159">
        <v>118.54</v>
      </c>
      <c r="M19" s="159">
        <v>9.0</v>
      </c>
      <c r="N19" s="159">
        <v>2.0</v>
      </c>
      <c r="O19" s="160"/>
      <c r="P19" s="172" t="s">
        <v>199</v>
      </c>
      <c r="Q19" s="173">
        <v>156.78</v>
      </c>
      <c r="R19" s="173">
        <v>9.0</v>
      </c>
      <c r="S19" s="173">
        <v>2.0</v>
      </c>
      <c r="T19" s="162"/>
      <c r="U19" s="161" t="s">
        <v>420</v>
      </c>
      <c r="V19" s="159">
        <v>8.0</v>
      </c>
      <c r="W19" s="159">
        <v>6.0</v>
      </c>
      <c r="X19" s="163">
        <v>0.5714</v>
      </c>
      <c r="Y19" s="163">
        <v>0.0</v>
      </c>
    </row>
    <row r="20">
      <c r="A20" s="161" t="s">
        <v>199</v>
      </c>
      <c r="B20" s="159">
        <v>141.24</v>
      </c>
      <c r="C20" s="159">
        <v>8.0</v>
      </c>
      <c r="D20" s="159">
        <v>3.0</v>
      </c>
      <c r="E20" s="160"/>
      <c r="F20" s="161" t="s">
        <v>174</v>
      </c>
      <c r="G20" s="159">
        <v>142.74</v>
      </c>
      <c r="H20" s="159">
        <v>8.0</v>
      </c>
      <c r="I20" s="159">
        <v>3.0</v>
      </c>
      <c r="J20" s="160"/>
      <c r="K20" s="161" t="s">
        <v>596</v>
      </c>
      <c r="L20" s="159">
        <v>116.34</v>
      </c>
      <c r="M20" s="159">
        <v>8.0</v>
      </c>
      <c r="N20" s="159">
        <v>3.0</v>
      </c>
      <c r="O20" s="160"/>
      <c r="P20" s="172" t="s">
        <v>125</v>
      </c>
      <c r="Q20" s="173">
        <v>153.92</v>
      </c>
      <c r="R20" s="173">
        <v>8.0</v>
      </c>
      <c r="S20" s="173">
        <v>3.0</v>
      </c>
      <c r="T20" s="162"/>
      <c r="U20" s="161" t="s">
        <v>125</v>
      </c>
      <c r="V20" s="159">
        <v>10.0</v>
      </c>
      <c r="W20" s="159">
        <v>4.0</v>
      </c>
      <c r="X20" s="163">
        <v>0.7143</v>
      </c>
      <c r="Y20" s="168">
        <v>0.1688</v>
      </c>
    </row>
    <row r="21">
      <c r="A21" s="161" t="s">
        <v>100</v>
      </c>
      <c r="B21" s="159">
        <v>133.04</v>
      </c>
      <c r="C21" s="159">
        <v>7.0</v>
      </c>
      <c r="D21" s="159">
        <v>4.0</v>
      </c>
      <c r="E21" s="160"/>
      <c r="F21" s="161" t="s">
        <v>481</v>
      </c>
      <c r="G21" s="159">
        <v>130.78</v>
      </c>
      <c r="H21" s="159">
        <v>7.0</v>
      </c>
      <c r="I21" s="159">
        <v>4.0</v>
      </c>
      <c r="J21" s="160"/>
      <c r="K21" s="161" t="s">
        <v>125</v>
      </c>
      <c r="L21" s="159">
        <v>114.54</v>
      </c>
      <c r="M21" s="159">
        <v>7.0</v>
      </c>
      <c r="N21" s="159">
        <v>4.0</v>
      </c>
      <c r="O21" s="160"/>
      <c r="P21" s="172" t="s">
        <v>420</v>
      </c>
      <c r="Q21" s="173">
        <v>145.72</v>
      </c>
      <c r="R21" s="173">
        <v>7.0</v>
      </c>
      <c r="S21" s="173">
        <v>4.0</v>
      </c>
      <c r="T21" s="162"/>
      <c r="U21" s="161" t="s">
        <v>152</v>
      </c>
      <c r="V21" s="159">
        <v>8.0</v>
      </c>
      <c r="W21" s="159">
        <v>6.0</v>
      </c>
      <c r="X21" s="163">
        <v>0.5714</v>
      </c>
      <c r="Y21" s="168">
        <v>0.0519</v>
      </c>
    </row>
    <row r="22">
      <c r="A22" s="161" t="s">
        <v>221</v>
      </c>
      <c r="B22" s="159">
        <v>131.02</v>
      </c>
      <c r="C22" s="159">
        <v>6.0</v>
      </c>
      <c r="D22" s="159">
        <v>5.0</v>
      </c>
      <c r="E22" s="160"/>
      <c r="F22" s="161" t="s">
        <v>421</v>
      </c>
      <c r="G22" s="159">
        <v>130.74</v>
      </c>
      <c r="H22" s="159">
        <v>6.0</v>
      </c>
      <c r="I22" s="159">
        <v>5.0</v>
      </c>
      <c r="J22" s="160"/>
      <c r="K22" s="161" t="s">
        <v>100</v>
      </c>
      <c r="L22" s="159">
        <v>112.64</v>
      </c>
      <c r="M22" s="159">
        <v>6.0</v>
      </c>
      <c r="N22" s="159">
        <v>5.0</v>
      </c>
      <c r="O22" s="160"/>
      <c r="P22" s="172" t="s">
        <v>596</v>
      </c>
      <c r="Q22" s="173">
        <v>138.1</v>
      </c>
      <c r="R22" s="173">
        <v>6.0</v>
      </c>
      <c r="S22" s="173">
        <v>5.0</v>
      </c>
      <c r="T22" s="162"/>
      <c r="U22" s="161" t="s">
        <v>596</v>
      </c>
      <c r="V22" s="159">
        <v>9.0</v>
      </c>
      <c r="W22" s="159">
        <v>5.0</v>
      </c>
      <c r="X22" s="163">
        <v>0.6429</v>
      </c>
      <c r="Y22" s="168">
        <v>0.1299</v>
      </c>
    </row>
    <row r="23">
      <c r="A23" s="161" t="s">
        <v>596</v>
      </c>
      <c r="B23" s="159">
        <v>124.8</v>
      </c>
      <c r="C23" s="159">
        <v>5.0</v>
      </c>
      <c r="D23" s="159">
        <v>6.0</v>
      </c>
      <c r="E23" s="160"/>
      <c r="F23" s="161" t="s">
        <v>221</v>
      </c>
      <c r="G23" s="159">
        <v>130.36</v>
      </c>
      <c r="H23" s="159">
        <v>5.0</v>
      </c>
      <c r="I23" s="159">
        <v>6.0</v>
      </c>
      <c r="J23" s="160"/>
      <c r="K23" s="161" t="s">
        <v>481</v>
      </c>
      <c r="L23" s="159">
        <v>112.12</v>
      </c>
      <c r="M23" s="159">
        <v>5.0</v>
      </c>
      <c r="N23" s="159">
        <v>6.0</v>
      </c>
      <c r="O23" s="160"/>
      <c r="P23" s="172" t="s">
        <v>174</v>
      </c>
      <c r="Q23" s="173">
        <v>135.3</v>
      </c>
      <c r="R23" s="173">
        <v>5.0</v>
      </c>
      <c r="S23" s="173">
        <v>6.0</v>
      </c>
      <c r="T23" s="162"/>
      <c r="U23" s="161" t="s">
        <v>199</v>
      </c>
      <c r="V23" s="159">
        <v>6.0</v>
      </c>
      <c r="W23" s="159">
        <v>8.0</v>
      </c>
      <c r="X23" s="163">
        <v>0.4286</v>
      </c>
      <c r="Y23" s="169">
        <v>-0.0779</v>
      </c>
    </row>
    <row r="24">
      <c r="A24" s="161" t="s">
        <v>481</v>
      </c>
      <c r="B24" s="159">
        <v>119.1</v>
      </c>
      <c r="C24" s="159">
        <v>4.0</v>
      </c>
      <c r="D24" s="159">
        <v>7.0</v>
      </c>
      <c r="E24" s="160"/>
      <c r="F24" s="161" t="s">
        <v>100</v>
      </c>
      <c r="G24" s="159">
        <v>126.08</v>
      </c>
      <c r="H24" s="159">
        <v>4.0</v>
      </c>
      <c r="I24" s="159">
        <v>7.0</v>
      </c>
      <c r="J24" s="160"/>
      <c r="K24" s="161" t="s">
        <v>199</v>
      </c>
      <c r="L24" s="159">
        <v>100.58</v>
      </c>
      <c r="M24" s="159">
        <v>4.0</v>
      </c>
      <c r="N24" s="159">
        <v>7.0</v>
      </c>
      <c r="O24" s="160"/>
      <c r="P24" s="172" t="s">
        <v>152</v>
      </c>
      <c r="Q24" s="173">
        <v>133.42</v>
      </c>
      <c r="R24" s="173">
        <v>4.0</v>
      </c>
      <c r="S24" s="173">
        <v>7.0</v>
      </c>
      <c r="T24" s="162"/>
      <c r="U24" s="161" t="s">
        <v>221</v>
      </c>
      <c r="V24" s="159">
        <v>5.0</v>
      </c>
      <c r="W24" s="159">
        <v>9.0</v>
      </c>
      <c r="X24" s="163">
        <v>0.3571</v>
      </c>
      <c r="Y24" s="169">
        <v>-0.1234</v>
      </c>
    </row>
    <row r="25">
      <c r="A25" s="161" t="s">
        <v>152</v>
      </c>
      <c r="B25" s="159">
        <v>116.46</v>
      </c>
      <c r="C25" s="159">
        <v>3.0</v>
      </c>
      <c r="D25" s="159">
        <v>8.0</v>
      </c>
      <c r="E25" s="160"/>
      <c r="F25" s="161" t="s">
        <v>245</v>
      </c>
      <c r="G25" s="159">
        <v>122.96</v>
      </c>
      <c r="H25" s="159">
        <v>3.0</v>
      </c>
      <c r="I25" s="159">
        <v>8.0</v>
      </c>
      <c r="J25" s="160"/>
      <c r="K25" s="161" t="s">
        <v>341</v>
      </c>
      <c r="L25" s="159">
        <v>92.02</v>
      </c>
      <c r="M25" s="159">
        <v>3.0</v>
      </c>
      <c r="N25" s="159">
        <v>8.0</v>
      </c>
      <c r="O25" s="160"/>
      <c r="P25" s="172" t="s">
        <v>221</v>
      </c>
      <c r="Q25" s="173">
        <v>129.0</v>
      </c>
      <c r="R25" s="173">
        <v>3.0</v>
      </c>
      <c r="S25" s="173">
        <v>8.0</v>
      </c>
      <c r="T25" s="162"/>
      <c r="U25" s="161" t="s">
        <v>421</v>
      </c>
      <c r="V25" s="159">
        <v>5.0</v>
      </c>
      <c r="W25" s="159">
        <v>9.0</v>
      </c>
      <c r="X25" s="163">
        <v>0.3571</v>
      </c>
      <c r="Y25" s="169">
        <v>-0.0844</v>
      </c>
    </row>
    <row r="26">
      <c r="A26" s="161" t="s">
        <v>125</v>
      </c>
      <c r="B26" s="159">
        <v>111.88</v>
      </c>
      <c r="C26" s="159">
        <v>2.0</v>
      </c>
      <c r="D26" s="159">
        <v>9.0</v>
      </c>
      <c r="E26" s="160"/>
      <c r="F26" s="161" t="s">
        <v>420</v>
      </c>
      <c r="G26" s="159">
        <v>119.02</v>
      </c>
      <c r="H26" s="159">
        <v>2.0</v>
      </c>
      <c r="I26" s="159">
        <v>9.0</v>
      </c>
      <c r="J26" s="160"/>
      <c r="K26" s="161" t="s">
        <v>420</v>
      </c>
      <c r="L26" s="159">
        <v>91.4</v>
      </c>
      <c r="M26" s="159">
        <v>2.0</v>
      </c>
      <c r="N26" s="159">
        <v>9.0</v>
      </c>
      <c r="O26" s="160"/>
      <c r="P26" s="172" t="s">
        <v>481</v>
      </c>
      <c r="Q26" s="173">
        <v>125.6</v>
      </c>
      <c r="R26" s="173">
        <v>2.0</v>
      </c>
      <c r="S26" s="173">
        <v>9.0</v>
      </c>
      <c r="T26" s="162"/>
      <c r="U26" s="161" t="s">
        <v>481</v>
      </c>
      <c r="V26" s="159">
        <v>3.0</v>
      </c>
      <c r="W26" s="159">
        <v>11.0</v>
      </c>
      <c r="X26" s="163">
        <v>0.2143</v>
      </c>
      <c r="Y26" s="169">
        <v>-0.1753</v>
      </c>
    </row>
    <row r="27">
      <c r="A27" s="161" t="s">
        <v>245</v>
      </c>
      <c r="B27" s="159">
        <v>92.02</v>
      </c>
      <c r="C27" s="159">
        <v>1.0</v>
      </c>
      <c r="D27" s="159">
        <v>10.0</v>
      </c>
      <c r="E27" s="160"/>
      <c r="F27" s="161" t="s">
        <v>125</v>
      </c>
      <c r="G27" s="159">
        <v>116.28</v>
      </c>
      <c r="H27" s="159">
        <v>1.0</v>
      </c>
      <c r="I27" s="159">
        <v>10.0</v>
      </c>
      <c r="J27" s="160"/>
      <c r="K27" s="161" t="s">
        <v>421</v>
      </c>
      <c r="L27" s="159">
        <v>89.72</v>
      </c>
      <c r="M27" s="159">
        <v>1.0</v>
      </c>
      <c r="N27" s="159">
        <v>10.0</v>
      </c>
      <c r="O27" s="160"/>
      <c r="P27" s="172" t="s">
        <v>421</v>
      </c>
      <c r="Q27" s="173">
        <v>106.98</v>
      </c>
      <c r="R27" s="173">
        <v>1.0</v>
      </c>
      <c r="S27" s="173">
        <v>10.0</v>
      </c>
      <c r="T27" s="162"/>
      <c r="U27" s="161" t="s">
        <v>245</v>
      </c>
      <c r="V27" s="159">
        <v>4.0</v>
      </c>
      <c r="W27" s="159">
        <v>10.0</v>
      </c>
      <c r="X27" s="163">
        <v>0.2857</v>
      </c>
      <c r="Y27" s="168">
        <v>0.0649</v>
      </c>
    </row>
    <row r="28">
      <c r="A28" s="161" t="s">
        <v>341</v>
      </c>
      <c r="B28" s="159">
        <v>91.8</v>
      </c>
      <c r="C28" s="159">
        <v>0.0</v>
      </c>
      <c r="D28" s="159">
        <v>11.0</v>
      </c>
      <c r="E28" s="160"/>
      <c r="F28" s="161" t="s">
        <v>152</v>
      </c>
      <c r="G28" s="159">
        <v>110.98</v>
      </c>
      <c r="H28" s="159">
        <v>0.0</v>
      </c>
      <c r="I28" s="159">
        <v>11.0</v>
      </c>
      <c r="J28" s="160"/>
      <c r="K28" s="161" t="s">
        <v>245</v>
      </c>
      <c r="L28" s="159">
        <v>85.74</v>
      </c>
      <c r="M28" s="159">
        <v>0.0</v>
      </c>
      <c r="N28" s="159">
        <v>11.0</v>
      </c>
      <c r="O28" s="160"/>
      <c r="P28" s="172" t="s">
        <v>245</v>
      </c>
      <c r="Q28" s="173">
        <v>78.1</v>
      </c>
      <c r="R28" s="173">
        <v>0.0</v>
      </c>
      <c r="S28" s="173">
        <v>11.0</v>
      </c>
      <c r="T28" s="162"/>
      <c r="U28" s="162"/>
      <c r="V28" s="162"/>
      <c r="W28" s="162"/>
      <c r="X28" s="162"/>
      <c r="Y28" s="162"/>
    </row>
    <row r="29">
      <c r="A29" s="162"/>
      <c r="B29" s="162"/>
      <c r="C29" s="162"/>
      <c r="D29" s="166"/>
      <c r="E29" s="160"/>
      <c r="F29" s="162"/>
      <c r="G29" s="162"/>
      <c r="H29" s="162"/>
      <c r="I29" s="162"/>
      <c r="J29" s="160"/>
      <c r="K29" s="162"/>
      <c r="L29" s="162"/>
      <c r="M29" s="162"/>
      <c r="N29" s="162"/>
      <c r="O29" s="160"/>
      <c r="P29" s="162"/>
      <c r="Q29" s="162"/>
      <c r="R29" s="162"/>
      <c r="S29" s="162"/>
      <c r="T29" s="162"/>
      <c r="U29" s="162"/>
      <c r="V29" s="162"/>
      <c r="W29" s="162"/>
      <c r="X29" s="162"/>
      <c r="Y29" s="162"/>
    </row>
    <row r="30">
      <c r="A30" s="162"/>
      <c r="B30" s="162"/>
      <c r="C30" s="162"/>
      <c r="D30" s="166"/>
      <c r="E30" s="160"/>
      <c r="F30" s="162"/>
      <c r="G30" s="162"/>
      <c r="H30" s="162"/>
      <c r="I30" s="162"/>
      <c r="J30" s="160"/>
      <c r="K30" s="162"/>
      <c r="L30" s="162"/>
      <c r="M30" s="162"/>
      <c r="N30" s="162"/>
      <c r="O30" s="160"/>
      <c r="P30" s="162"/>
      <c r="Q30" s="162"/>
      <c r="R30" s="162"/>
      <c r="S30" s="162"/>
      <c r="T30" s="162"/>
      <c r="U30" s="162"/>
      <c r="V30" s="162"/>
      <c r="W30" s="162"/>
      <c r="X30" s="162"/>
      <c r="Y30" s="162"/>
    </row>
    <row r="31">
      <c r="A31" s="161" t="s">
        <v>506</v>
      </c>
      <c r="B31" s="159" t="s">
        <v>590</v>
      </c>
      <c r="C31" s="159" t="s">
        <v>591</v>
      </c>
      <c r="D31" s="159" t="s">
        <v>592</v>
      </c>
      <c r="E31" s="160"/>
      <c r="F31" s="161" t="s">
        <v>505</v>
      </c>
      <c r="G31" s="159" t="s">
        <v>590</v>
      </c>
      <c r="H31" s="159" t="s">
        <v>591</v>
      </c>
      <c r="I31" s="159" t="s">
        <v>592</v>
      </c>
      <c r="J31" s="160"/>
      <c r="K31" s="161" t="s">
        <v>504</v>
      </c>
      <c r="L31" s="159" t="s">
        <v>590</v>
      </c>
      <c r="M31" s="159" t="s">
        <v>591</v>
      </c>
      <c r="N31" s="159" t="s">
        <v>592</v>
      </c>
      <c r="O31" s="160"/>
      <c r="P31" s="161" t="s">
        <v>503</v>
      </c>
      <c r="Q31" s="159" t="s">
        <v>590</v>
      </c>
      <c r="R31" s="159" t="s">
        <v>591</v>
      </c>
      <c r="S31" s="159" t="s">
        <v>592</v>
      </c>
      <c r="T31" s="162"/>
      <c r="U31" s="162"/>
      <c r="V31" s="162"/>
      <c r="W31" s="162"/>
      <c r="X31" s="162"/>
      <c r="Y31" s="162"/>
    </row>
    <row r="32">
      <c r="A32" s="161" t="s">
        <v>199</v>
      </c>
      <c r="B32" s="159">
        <v>181.58</v>
      </c>
      <c r="C32" s="159">
        <v>11.0</v>
      </c>
      <c r="D32" s="159">
        <v>0.0</v>
      </c>
      <c r="E32" s="160"/>
      <c r="F32" s="161" t="s">
        <v>125</v>
      </c>
      <c r="G32" s="159">
        <v>159.5</v>
      </c>
      <c r="H32" s="159">
        <v>11.0</v>
      </c>
      <c r="I32" s="159">
        <v>0.0</v>
      </c>
      <c r="J32" s="160"/>
      <c r="K32" s="170" t="s">
        <v>596</v>
      </c>
      <c r="L32" s="159">
        <v>181.96</v>
      </c>
      <c r="M32" s="159">
        <v>11.0</v>
      </c>
      <c r="N32" s="159">
        <v>0.0</v>
      </c>
      <c r="O32" s="160"/>
      <c r="P32" s="170" t="s">
        <v>174</v>
      </c>
      <c r="Q32" s="159">
        <v>175.18</v>
      </c>
      <c r="R32" s="159">
        <v>11.0</v>
      </c>
      <c r="S32" s="159">
        <v>0.0</v>
      </c>
      <c r="T32" s="162"/>
      <c r="U32" s="162"/>
      <c r="V32" s="162"/>
      <c r="W32" s="162"/>
      <c r="X32" s="162"/>
      <c r="Y32" s="162"/>
    </row>
    <row r="33">
      <c r="A33" s="161" t="s">
        <v>341</v>
      </c>
      <c r="B33" s="159">
        <v>163.6</v>
      </c>
      <c r="C33" s="159">
        <v>10.0</v>
      </c>
      <c r="D33" s="159">
        <v>1.0</v>
      </c>
      <c r="E33" s="160"/>
      <c r="F33" s="161" t="s">
        <v>420</v>
      </c>
      <c r="G33" s="159">
        <v>138.8</v>
      </c>
      <c r="H33" s="159">
        <v>10.0</v>
      </c>
      <c r="I33" s="159">
        <v>1.0</v>
      </c>
      <c r="J33" s="160"/>
      <c r="K33" s="170" t="s">
        <v>125</v>
      </c>
      <c r="L33" s="159">
        <v>174.38</v>
      </c>
      <c r="M33" s="159">
        <v>10.0</v>
      </c>
      <c r="N33" s="159">
        <v>1.0</v>
      </c>
      <c r="O33" s="160"/>
      <c r="P33" s="170" t="s">
        <v>341</v>
      </c>
      <c r="Q33" s="159">
        <v>168.08</v>
      </c>
      <c r="R33" s="159">
        <v>10.0</v>
      </c>
      <c r="S33" s="159">
        <v>1.0</v>
      </c>
      <c r="T33" s="162"/>
      <c r="U33" s="162"/>
      <c r="V33" s="162"/>
      <c r="W33" s="162"/>
      <c r="X33" s="162"/>
      <c r="Y33" s="162"/>
    </row>
    <row r="34">
      <c r="A34" s="161" t="s">
        <v>420</v>
      </c>
      <c r="B34" s="159">
        <v>161.26</v>
      </c>
      <c r="C34" s="159">
        <v>9.0</v>
      </c>
      <c r="D34" s="159">
        <v>2.0</v>
      </c>
      <c r="E34" s="160"/>
      <c r="F34" s="161" t="s">
        <v>596</v>
      </c>
      <c r="G34" s="159">
        <v>138.26</v>
      </c>
      <c r="H34" s="159">
        <v>9.0</v>
      </c>
      <c r="I34" s="159">
        <v>2.0</v>
      </c>
      <c r="J34" s="160"/>
      <c r="K34" s="170" t="s">
        <v>221</v>
      </c>
      <c r="L34" s="159">
        <v>153.74</v>
      </c>
      <c r="M34" s="159">
        <v>9.0</v>
      </c>
      <c r="N34" s="159">
        <v>2.0</v>
      </c>
      <c r="O34" s="160"/>
      <c r="P34" s="170" t="s">
        <v>421</v>
      </c>
      <c r="Q34" s="159">
        <v>135.58</v>
      </c>
      <c r="R34" s="159">
        <v>9.0</v>
      </c>
      <c r="S34" s="159">
        <v>2.0</v>
      </c>
      <c r="T34" s="162"/>
      <c r="U34" s="162"/>
      <c r="V34" s="162"/>
      <c r="W34" s="162"/>
      <c r="X34" s="162"/>
      <c r="Y34" s="162"/>
    </row>
    <row r="35">
      <c r="A35" s="161" t="s">
        <v>100</v>
      </c>
      <c r="B35" s="159">
        <v>133.38</v>
      </c>
      <c r="C35" s="159">
        <v>8.0</v>
      </c>
      <c r="D35" s="159">
        <v>3.0</v>
      </c>
      <c r="E35" s="160"/>
      <c r="F35" s="161" t="s">
        <v>152</v>
      </c>
      <c r="G35" s="159">
        <v>134.46</v>
      </c>
      <c r="H35" s="159">
        <v>8.0</v>
      </c>
      <c r="I35" s="159">
        <v>3.0</v>
      </c>
      <c r="J35" s="160"/>
      <c r="K35" s="170" t="s">
        <v>152</v>
      </c>
      <c r="L35" s="159">
        <v>146.84</v>
      </c>
      <c r="M35" s="159">
        <v>8.0</v>
      </c>
      <c r="N35" s="159">
        <v>3.0</v>
      </c>
      <c r="O35" s="160"/>
      <c r="P35" s="170" t="s">
        <v>420</v>
      </c>
      <c r="Q35" s="159">
        <v>132.8</v>
      </c>
      <c r="R35" s="159">
        <v>8.0</v>
      </c>
      <c r="S35" s="159">
        <v>3.0</v>
      </c>
      <c r="T35" s="162"/>
      <c r="U35" s="162"/>
      <c r="V35" s="162"/>
      <c r="W35" s="162"/>
      <c r="X35" s="162"/>
      <c r="Y35" s="162"/>
    </row>
    <row r="36">
      <c r="A36" s="161" t="s">
        <v>174</v>
      </c>
      <c r="B36" s="159">
        <v>133.16</v>
      </c>
      <c r="C36" s="159">
        <v>7.0</v>
      </c>
      <c r="D36" s="159">
        <v>4.0</v>
      </c>
      <c r="E36" s="160"/>
      <c r="F36" s="161" t="s">
        <v>341</v>
      </c>
      <c r="G36" s="159">
        <v>131.8</v>
      </c>
      <c r="H36" s="159">
        <v>7.0</v>
      </c>
      <c r="I36" s="159">
        <v>4.0</v>
      </c>
      <c r="J36" s="160"/>
      <c r="K36" s="170" t="s">
        <v>421</v>
      </c>
      <c r="L36" s="159">
        <v>137.02</v>
      </c>
      <c r="M36" s="159">
        <v>7.0</v>
      </c>
      <c r="N36" s="159">
        <v>4.0</v>
      </c>
      <c r="O36" s="160"/>
      <c r="P36" s="170" t="s">
        <v>481</v>
      </c>
      <c r="Q36" s="159">
        <v>131.86</v>
      </c>
      <c r="R36" s="159">
        <v>7.0</v>
      </c>
      <c r="S36" s="159">
        <v>4.0</v>
      </c>
      <c r="T36" s="162"/>
      <c r="U36" s="162"/>
      <c r="V36" s="162"/>
      <c r="W36" s="162"/>
      <c r="X36" s="162"/>
      <c r="Y36" s="162"/>
    </row>
    <row r="37">
      <c r="A37" s="161" t="s">
        <v>596</v>
      </c>
      <c r="B37" s="159">
        <v>131.56</v>
      </c>
      <c r="C37" s="159">
        <v>6.0</v>
      </c>
      <c r="D37" s="159">
        <v>5.0</v>
      </c>
      <c r="E37" s="160"/>
      <c r="F37" s="161" t="s">
        <v>221</v>
      </c>
      <c r="G37" s="159">
        <v>115.0</v>
      </c>
      <c r="H37" s="159">
        <v>6.0</v>
      </c>
      <c r="I37" s="159">
        <v>5.0</v>
      </c>
      <c r="J37" s="160"/>
      <c r="K37" s="170" t="s">
        <v>100</v>
      </c>
      <c r="L37" s="159">
        <v>127.08</v>
      </c>
      <c r="M37" s="159">
        <v>6.0</v>
      </c>
      <c r="N37" s="159">
        <v>5.0</v>
      </c>
      <c r="O37" s="160"/>
      <c r="P37" s="170" t="s">
        <v>100</v>
      </c>
      <c r="Q37" s="159">
        <v>129.84</v>
      </c>
      <c r="R37" s="159">
        <v>6.0</v>
      </c>
      <c r="S37" s="159">
        <v>5.0</v>
      </c>
      <c r="T37" s="162"/>
      <c r="U37" s="162"/>
      <c r="V37" s="162"/>
      <c r="W37" s="162"/>
      <c r="X37" s="162"/>
      <c r="Y37" s="162"/>
    </row>
    <row r="38">
      <c r="A38" s="161" t="s">
        <v>221</v>
      </c>
      <c r="B38" s="159">
        <v>130.52</v>
      </c>
      <c r="C38" s="159">
        <v>5.0</v>
      </c>
      <c r="D38" s="159">
        <v>6.0</v>
      </c>
      <c r="E38" s="160"/>
      <c r="F38" s="161" t="s">
        <v>199</v>
      </c>
      <c r="G38" s="159">
        <v>114.56</v>
      </c>
      <c r="H38" s="159">
        <v>5.0</v>
      </c>
      <c r="I38" s="159">
        <v>6.0</v>
      </c>
      <c r="J38" s="160"/>
      <c r="K38" s="170" t="s">
        <v>199</v>
      </c>
      <c r="L38" s="159">
        <v>126.7</v>
      </c>
      <c r="M38" s="159">
        <v>5.0</v>
      </c>
      <c r="N38" s="159">
        <v>6.0</v>
      </c>
      <c r="O38" s="160"/>
      <c r="P38" s="170" t="s">
        <v>245</v>
      </c>
      <c r="Q38" s="159">
        <v>119.08</v>
      </c>
      <c r="R38" s="159">
        <v>5.0</v>
      </c>
      <c r="S38" s="159">
        <v>6.0</v>
      </c>
      <c r="T38" s="162"/>
      <c r="U38" s="162"/>
      <c r="V38" s="162"/>
      <c r="W38" s="162"/>
      <c r="X38" s="162"/>
      <c r="Y38" s="162"/>
    </row>
    <row r="39">
      <c r="A39" s="161" t="s">
        <v>421</v>
      </c>
      <c r="B39" s="159">
        <v>129.02</v>
      </c>
      <c r="C39" s="159">
        <v>4.0</v>
      </c>
      <c r="D39" s="159">
        <v>7.0</v>
      </c>
      <c r="E39" s="160"/>
      <c r="F39" s="161" t="s">
        <v>100</v>
      </c>
      <c r="G39" s="159">
        <v>111.18</v>
      </c>
      <c r="H39" s="159">
        <v>4.0</v>
      </c>
      <c r="I39" s="159">
        <v>7.0</v>
      </c>
      <c r="J39" s="160"/>
      <c r="K39" s="170" t="s">
        <v>341</v>
      </c>
      <c r="L39" s="159">
        <v>126.34</v>
      </c>
      <c r="M39" s="159">
        <v>4.0</v>
      </c>
      <c r="N39" s="159">
        <v>7.0</v>
      </c>
      <c r="O39" s="160"/>
      <c r="P39" s="170" t="s">
        <v>199</v>
      </c>
      <c r="Q39" s="159">
        <v>105.0</v>
      </c>
      <c r="R39" s="159">
        <v>4.0</v>
      </c>
      <c r="S39" s="159">
        <v>7.0</v>
      </c>
      <c r="T39" s="162"/>
      <c r="U39" s="162"/>
      <c r="V39" s="162"/>
      <c r="W39" s="162"/>
      <c r="X39" s="162"/>
      <c r="Y39" s="162"/>
    </row>
    <row r="40">
      <c r="A40" s="161" t="s">
        <v>481</v>
      </c>
      <c r="B40" s="159">
        <v>127.36</v>
      </c>
      <c r="C40" s="159">
        <v>3.0</v>
      </c>
      <c r="D40" s="159">
        <v>8.0</v>
      </c>
      <c r="E40" s="160"/>
      <c r="F40" s="161" t="s">
        <v>421</v>
      </c>
      <c r="G40" s="159">
        <v>108.58</v>
      </c>
      <c r="H40" s="159">
        <v>3.0</v>
      </c>
      <c r="I40" s="159">
        <v>8.0</v>
      </c>
      <c r="J40" s="160"/>
      <c r="K40" s="170" t="s">
        <v>174</v>
      </c>
      <c r="L40" s="159">
        <v>121.52</v>
      </c>
      <c r="M40" s="159">
        <v>3.0</v>
      </c>
      <c r="N40" s="159">
        <v>8.0</v>
      </c>
      <c r="O40" s="160"/>
      <c r="P40" s="170" t="s">
        <v>125</v>
      </c>
      <c r="Q40" s="159">
        <v>99.14</v>
      </c>
      <c r="R40" s="159">
        <v>3.0</v>
      </c>
      <c r="S40" s="159">
        <v>8.0</v>
      </c>
      <c r="T40" s="162"/>
      <c r="U40" s="162"/>
      <c r="V40" s="162"/>
      <c r="W40" s="162"/>
      <c r="X40" s="162"/>
      <c r="Y40" s="162"/>
    </row>
    <row r="41">
      <c r="A41" s="161" t="s">
        <v>152</v>
      </c>
      <c r="B41" s="159">
        <v>103.68</v>
      </c>
      <c r="C41" s="159">
        <v>2.0</v>
      </c>
      <c r="D41" s="159">
        <v>9.0</v>
      </c>
      <c r="E41" s="160"/>
      <c r="F41" s="161" t="s">
        <v>174</v>
      </c>
      <c r="G41" s="159">
        <v>104.54</v>
      </c>
      <c r="H41" s="159">
        <v>2.0</v>
      </c>
      <c r="I41" s="159">
        <v>9.0</v>
      </c>
      <c r="J41" s="160"/>
      <c r="K41" s="170" t="s">
        <v>420</v>
      </c>
      <c r="L41" s="159">
        <v>114.26</v>
      </c>
      <c r="M41" s="159">
        <v>2.0</v>
      </c>
      <c r="N41" s="159">
        <v>9.0</v>
      </c>
      <c r="O41" s="160"/>
      <c r="P41" s="170" t="s">
        <v>221</v>
      </c>
      <c r="Q41" s="159">
        <v>98.6</v>
      </c>
      <c r="R41" s="159">
        <v>2.0</v>
      </c>
      <c r="S41" s="159">
        <v>9.0</v>
      </c>
      <c r="T41" s="162"/>
      <c r="U41" s="162"/>
      <c r="V41" s="162"/>
      <c r="W41" s="162"/>
      <c r="X41" s="162"/>
      <c r="Y41" s="162"/>
    </row>
    <row r="42">
      <c r="A42" s="161" t="s">
        <v>125</v>
      </c>
      <c r="B42" s="159">
        <v>89.82</v>
      </c>
      <c r="C42" s="159">
        <v>1.0</v>
      </c>
      <c r="D42" s="159">
        <v>10.0</v>
      </c>
      <c r="E42" s="160"/>
      <c r="F42" s="161" t="s">
        <v>481</v>
      </c>
      <c r="G42" s="159">
        <v>94.32</v>
      </c>
      <c r="H42" s="159">
        <v>1.0</v>
      </c>
      <c r="I42" s="159">
        <v>10.0</v>
      </c>
      <c r="J42" s="160"/>
      <c r="K42" s="170" t="s">
        <v>481</v>
      </c>
      <c r="L42" s="159">
        <v>112.86</v>
      </c>
      <c r="M42" s="159">
        <v>1.0</v>
      </c>
      <c r="N42" s="159">
        <v>10.0</v>
      </c>
      <c r="O42" s="160"/>
      <c r="P42" s="170" t="s">
        <v>596</v>
      </c>
      <c r="Q42" s="159">
        <v>90.28</v>
      </c>
      <c r="R42" s="159">
        <v>1.0</v>
      </c>
      <c r="S42" s="159">
        <v>10.0</v>
      </c>
      <c r="T42" s="162"/>
      <c r="U42" s="162"/>
      <c r="V42" s="162"/>
      <c r="W42" s="162"/>
      <c r="X42" s="162"/>
      <c r="Y42" s="162"/>
    </row>
    <row r="43">
      <c r="A43" s="161" t="s">
        <v>245</v>
      </c>
      <c r="B43" s="159">
        <v>87.9</v>
      </c>
      <c r="C43" s="159">
        <v>0.0</v>
      </c>
      <c r="D43" s="159">
        <v>11.0</v>
      </c>
      <c r="E43" s="160"/>
      <c r="F43" s="161" t="s">
        <v>245</v>
      </c>
      <c r="G43" s="159">
        <v>58.04</v>
      </c>
      <c r="H43" s="159">
        <v>0.0</v>
      </c>
      <c r="I43" s="159">
        <v>11.0</v>
      </c>
      <c r="J43" s="160"/>
      <c r="K43" s="170" t="s">
        <v>245</v>
      </c>
      <c r="L43" s="159">
        <v>79.12</v>
      </c>
      <c r="M43" s="159">
        <v>0.0</v>
      </c>
      <c r="N43" s="159">
        <v>11.0</v>
      </c>
      <c r="O43" s="160"/>
      <c r="P43" s="170" t="s">
        <v>152</v>
      </c>
      <c r="Q43" s="159">
        <v>80.14</v>
      </c>
      <c r="R43" s="159">
        <v>0.0</v>
      </c>
      <c r="S43" s="159">
        <v>11.0</v>
      </c>
      <c r="T43" s="162"/>
      <c r="U43" s="162"/>
      <c r="V43" s="162"/>
      <c r="W43" s="162"/>
      <c r="X43" s="162"/>
      <c r="Y43" s="162"/>
    </row>
    <row r="44">
      <c r="A44" s="162"/>
      <c r="B44" s="162"/>
      <c r="C44" s="162"/>
      <c r="D44" s="166"/>
      <c r="E44" s="160"/>
      <c r="F44" s="162"/>
      <c r="G44" s="162"/>
      <c r="H44" s="162"/>
      <c r="I44" s="162"/>
      <c r="J44" s="160"/>
      <c r="K44" s="162"/>
      <c r="L44" s="162"/>
      <c r="M44" s="162"/>
      <c r="N44" s="162"/>
      <c r="O44" s="160"/>
      <c r="P44" s="162"/>
      <c r="Q44" s="162"/>
      <c r="R44" s="162"/>
      <c r="S44" s="162"/>
      <c r="T44" s="162"/>
      <c r="U44" s="162"/>
      <c r="V44" s="162"/>
      <c r="W44" s="162"/>
      <c r="X44" s="162"/>
      <c r="Y44" s="162"/>
    </row>
    <row r="45">
      <c r="A45" s="162"/>
      <c r="B45" s="162"/>
      <c r="C45" s="162"/>
      <c r="D45" s="166"/>
      <c r="E45" s="160"/>
      <c r="F45" s="162"/>
      <c r="G45" s="162"/>
      <c r="H45" s="162"/>
      <c r="I45" s="162"/>
      <c r="J45" s="160"/>
      <c r="K45" s="162"/>
      <c r="L45" s="162"/>
      <c r="M45" s="162"/>
      <c r="N45" s="162"/>
      <c r="O45" s="160"/>
      <c r="P45" s="162"/>
      <c r="Q45" s="162"/>
      <c r="R45" s="162"/>
      <c r="S45" s="162"/>
      <c r="T45" s="162"/>
      <c r="U45" s="162"/>
      <c r="V45" s="162"/>
      <c r="W45" s="162"/>
      <c r="X45" s="162"/>
      <c r="Y45" s="162"/>
    </row>
    <row r="46">
      <c r="A46" s="161" t="s">
        <v>627</v>
      </c>
      <c r="B46" s="159" t="s">
        <v>590</v>
      </c>
      <c r="C46" s="159" t="s">
        <v>591</v>
      </c>
      <c r="D46" s="159" t="s">
        <v>592</v>
      </c>
      <c r="E46" s="160"/>
      <c r="F46" s="161" t="s">
        <v>500</v>
      </c>
      <c r="G46" s="159" t="s">
        <v>590</v>
      </c>
      <c r="H46" s="159" t="s">
        <v>591</v>
      </c>
      <c r="I46" s="159" t="s">
        <v>592</v>
      </c>
      <c r="J46" s="160"/>
      <c r="K46" s="162"/>
      <c r="L46" s="162"/>
      <c r="M46" s="162"/>
      <c r="N46" s="162"/>
      <c r="O46" s="160"/>
      <c r="P46" s="162"/>
      <c r="Q46" s="162"/>
      <c r="R46" s="162"/>
      <c r="S46" s="162"/>
      <c r="T46" s="162"/>
      <c r="U46" s="162"/>
      <c r="V46" s="162"/>
      <c r="W46" s="162"/>
      <c r="X46" s="162"/>
      <c r="Y46" s="162"/>
    </row>
    <row r="47">
      <c r="A47" s="170" t="s">
        <v>421</v>
      </c>
      <c r="B47" s="159">
        <v>158.82</v>
      </c>
      <c r="C47" s="159">
        <v>11.0</v>
      </c>
      <c r="D47" s="159">
        <v>0.0</v>
      </c>
      <c r="E47" s="160"/>
      <c r="F47" s="161" t="s">
        <v>341</v>
      </c>
      <c r="G47" s="159">
        <v>184.92</v>
      </c>
      <c r="H47" s="159">
        <v>11.0</v>
      </c>
      <c r="I47" s="159">
        <v>0.0</v>
      </c>
      <c r="J47" s="160"/>
      <c r="K47" s="162"/>
      <c r="L47" s="162"/>
      <c r="M47" s="162"/>
      <c r="N47" s="162"/>
      <c r="O47" s="160"/>
      <c r="P47" s="162"/>
      <c r="Q47" s="162"/>
      <c r="R47" s="162"/>
      <c r="S47" s="162"/>
      <c r="T47" s="162"/>
      <c r="U47" s="162"/>
      <c r="V47" s="162"/>
      <c r="W47" s="162"/>
      <c r="X47" s="162"/>
      <c r="Y47" s="162"/>
    </row>
    <row r="48">
      <c r="A48" s="170" t="s">
        <v>341</v>
      </c>
      <c r="B48" s="159">
        <v>151.04</v>
      </c>
      <c r="C48" s="159">
        <v>10.0</v>
      </c>
      <c r="D48" s="159">
        <v>1.0</v>
      </c>
      <c r="E48" s="160"/>
      <c r="F48" s="161" t="s">
        <v>125</v>
      </c>
      <c r="G48" s="159">
        <v>171.84</v>
      </c>
      <c r="H48" s="159">
        <v>10.0</v>
      </c>
      <c r="I48" s="159">
        <v>1.0</v>
      </c>
      <c r="J48" s="160"/>
      <c r="K48" s="162"/>
      <c r="L48" s="162"/>
      <c r="M48" s="162"/>
      <c r="N48" s="162"/>
      <c r="O48" s="160"/>
      <c r="P48" s="162"/>
      <c r="Q48" s="162"/>
      <c r="R48" s="162"/>
      <c r="S48" s="162"/>
      <c r="T48" s="162"/>
      <c r="U48" s="162"/>
      <c r="V48" s="162"/>
      <c r="W48" s="162"/>
      <c r="X48" s="162"/>
      <c r="Y48" s="162"/>
    </row>
    <row r="49">
      <c r="A49" s="170" t="s">
        <v>221</v>
      </c>
      <c r="B49" s="159">
        <v>149.32</v>
      </c>
      <c r="C49" s="159">
        <v>9.0</v>
      </c>
      <c r="D49" s="159">
        <v>2.0</v>
      </c>
      <c r="E49" s="160"/>
      <c r="F49" s="161" t="s">
        <v>174</v>
      </c>
      <c r="G49" s="159">
        <v>164.12</v>
      </c>
      <c r="H49" s="159">
        <v>9.0</v>
      </c>
      <c r="I49" s="159">
        <v>2.0</v>
      </c>
      <c r="J49" s="160"/>
      <c r="K49" s="162"/>
      <c r="L49" s="162"/>
      <c r="M49" s="162"/>
      <c r="N49" s="162"/>
      <c r="O49" s="160"/>
      <c r="P49" s="162"/>
      <c r="Q49" s="162"/>
      <c r="R49" s="162"/>
      <c r="S49" s="162"/>
      <c r="T49" s="162"/>
      <c r="U49" s="162"/>
      <c r="V49" s="162"/>
      <c r="W49" s="162"/>
      <c r="X49" s="162"/>
      <c r="Y49" s="162"/>
    </row>
    <row r="50">
      <c r="A50" s="170" t="s">
        <v>100</v>
      </c>
      <c r="B50" s="159">
        <v>145.08</v>
      </c>
      <c r="C50" s="159">
        <v>8.0</v>
      </c>
      <c r="D50" s="159">
        <v>3.0</v>
      </c>
      <c r="E50" s="160"/>
      <c r="F50" s="161" t="s">
        <v>152</v>
      </c>
      <c r="G50" s="159">
        <v>158.2</v>
      </c>
      <c r="H50" s="159">
        <v>8.0</v>
      </c>
      <c r="I50" s="159">
        <v>3.0</v>
      </c>
      <c r="J50" s="160"/>
      <c r="K50" s="162"/>
      <c r="L50" s="162"/>
      <c r="M50" s="162"/>
      <c r="N50" s="162"/>
      <c r="O50" s="160"/>
      <c r="P50" s="162"/>
      <c r="Q50" s="162"/>
      <c r="R50" s="162"/>
      <c r="S50" s="162"/>
      <c r="T50" s="162"/>
      <c r="U50" s="162"/>
      <c r="V50" s="162"/>
      <c r="W50" s="162"/>
      <c r="X50" s="162"/>
      <c r="Y50" s="162"/>
    </row>
    <row r="51">
      <c r="A51" s="170" t="s">
        <v>245</v>
      </c>
      <c r="B51" s="159">
        <v>134.86</v>
      </c>
      <c r="C51" s="159">
        <v>7.0</v>
      </c>
      <c r="D51" s="159">
        <v>4.0</v>
      </c>
      <c r="E51" s="160"/>
      <c r="F51" s="161" t="s">
        <v>420</v>
      </c>
      <c r="G51" s="159">
        <v>135.64</v>
      </c>
      <c r="H51" s="159">
        <v>7.0</v>
      </c>
      <c r="I51" s="159">
        <v>4.0</v>
      </c>
      <c r="J51" s="160"/>
      <c r="K51" s="162"/>
      <c r="L51" s="162"/>
      <c r="M51" s="162"/>
      <c r="N51" s="162"/>
      <c r="O51" s="160"/>
      <c r="P51" s="162"/>
      <c r="Q51" s="162"/>
      <c r="R51" s="162"/>
      <c r="S51" s="162"/>
      <c r="T51" s="162"/>
      <c r="U51" s="162"/>
      <c r="V51" s="162"/>
      <c r="W51" s="162"/>
      <c r="X51" s="162"/>
      <c r="Y51" s="162"/>
    </row>
    <row r="52">
      <c r="A52" s="170" t="s">
        <v>125</v>
      </c>
      <c r="B52" s="159">
        <v>128.76</v>
      </c>
      <c r="C52" s="159">
        <v>6.0</v>
      </c>
      <c r="D52" s="159">
        <v>5.0</v>
      </c>
      <c r="E52" s="160"/>
      <c r="F52" s="161" t="s">
        <v>481</v>
      </c>
      <c r="G52" s="159">
        <v>135.52</v>
      </c>
      <c r="H52" s="159">
        <v>6.0</v>
      </c>
      <c r="I52" s="159">
        <v>5.0</v>
      </c>
      <c r="J52" s="160"/>
      <c r="K52" s="162"/>
      <c r="L52" s="162"/>
      <c r="M52" s="162"/>
      <c r="N52" s="162"/>
      <c r="O52" s="160"/>
      <c r="P52" s="162"/>
      <c r="Q52" s="162"/>
      <c r="R52" s="162"/>
      <c r="S52" s="162"/>
      <c r="T52" s="162"/>
      <c r="U52" s="162"/>
      <c r="V52" s="162"/>
      <c r="W52" s="162"/>
      <c r="X52" s="162"/>
      <c r="Y52" s="162"/>
    </row>
    <row r="53">
      <c r="A53" s="170" t="s">
        <v>199</v>
      </c>
      <c r="B53" s="159">
        <v>128.06</v>
      </c>
      <c r="C53" s="159">
        <v>5.0</v>
      </c>
      <c r="D53" s="159">
        <v>6.0</v>
      </c>
      <c r="E53" s="160"/>
      <c r="F53" s="161" t="s">
        <v>245</v>
      </c>
      <c r="G53" s="159">
        <v>122.32</v>
      </c>
      <c r="H53" s="159">
        <v>5.0</v>
      </c>
      <c r="I53" s="159">
        <v>6.0</v>
      </c>
      <c r="J53" s="160"/>
      <c r="K53" s="162"/>
      <c r="L53" s="162"/>
      <c r="M53" s="162"/>
      <c r="N53" s="162"/>
      <c r="O53" s="160"/>
      <c r="P53" s="162"/>
      <c r="Q53" s="162"/>
      <c r="R53" s="162"/>
      <c r="S53" s="162"/>
      <c r="T53" s="162"/>
      <c r="U53" s="162"/>
      <c r="V53" s="162"/>
      <c r="W53" s="162"/>
      <c r="X53" s="162"/>
      <c r="Y53" s="162"/>
    </row>
    <row r="54">
      <c r="A54" s="170" t="s">
        <v>420</v>
      </c>
      <c r="B54" s="159">
        <v>115.2</v>
      </c>
      <c r="C54" s="159">
        <v>4.0</v>
      </c>
      <c r="D54" s="159">
        <v>7.0</v>
      </c>
      <c r="E54" s="160"/>
      <c r="F54" s="161" t="s">
        <v>596</v>
      </c>
      <c r="G54" s="159">
        <v>119.7</v>
      </c>
      <c r="H54" s="159">
        <v>4.0</v>
      </c>
      <c r="I54" s="159">
        <v>7.0</v>
      </c>
      <c r="J54" s="160"/>
      <c r="K54" s="162"/>
      <c r="L54" s="162"/>
      <c r="M54" s="162"/>
      <c r="N54" s="162"/>
      <c r="O54" s="160"/>
      <c r="P54" s="162"/>
      <c r="Q54" s="162"/>
      <c r="R54" s="162"/>
      <c r="S54" s="162"/>
      <c r="T54" s="162"/>
      <c r="U54" s="162"/>
      <c r="V54" s="162"/>
      <c r="W54" s="162"/>
      <c r="X54" s="162"/>
      <c r="Y54" s="162"/>
    </row>
    <row r="55">
      <c r="A55" s="170" t="s">
        <v>152</v>
      </c>
      <c r="B55" s="159">
        <v>111.06</v>
      </c>
      <c r="C55" s="159">
        <v>3.0</v>
      </c>
      <c r="D55" s="159">
        <v>8.0</v>
      </c>
      <c r="E55" s="160"/>
      <c r="F55" s="161" t="s">
        <v>199</v>
      </c>
      <c r="G55" s="159">
        <v>119.02</v>
      </c>
      <c r="H55" s="159">
        <v>3.0</v>
      </c>
      <c r="I55" s="159">
        <v>8.0</v>
      </c>
      <c r="J55" s="160"/>
      <c r="K55" s="162"/>
      <c r="L55" s="162"/>
      <c r="M55" s="162"/>
      <c r="N55" s="162"/>
      <c r="O55" s="160"/>
      <c r="P55" s="162"/>
      <c r="Q55" s="162"/>
      <c r="R55" s="162"/>
      <c r="S55" s="162"/>
      <c r="T55" s="162"/>
      <c r="U55" s="162"/>
      <c r="V55" s="162"/>
      <c r="W55" s="162"/>
      <c r="X55" s="162"/>
      <c r="Y55" s="162"/>
    </row>
    <row r="56">
      <c r="A56" s="170" t="s">
        <v>596</v>
      </c>
      <c r="B56" s="159">
        <v>108.8</v>
      </c>
      <c r="C56" s="159">
        <v>2.0</v>
      </c>
      <c r="D56" s="159">
        <v>9.0</v>
      </c>
      <c r="E56" s="160"/>
      <c r="F56" s="161" t="s">
        <v>421</v>
      </c>
      <c r="G56" s="159">
        <v>116.16</v>
      </c>
      <c r="H56" s="159">
        <v>2.0</v>
      </c>
      <c r="I56" s="159">
        <v>9.0</v>
      </c>
      <c r="J56" s="160"/>
      <c r="K56" s="162"/>
      <c r="L56" s="162"/>
      <c r="M56" s="162"/>
      <c r="N56" s="162"/>
      <c r="O56" s="160"/>
      <c r="P56" s="162"/>
      <c r="Q56" s="162"/>
      <c r="R56" s="162"/>
      <c r="S56" s="162"/>
      <c r="T56" s="162"/>
      <c r="U56" s="162"/>
      <c r="V56" s="162"/>
      <c r="W56" s="162"/>
      <c r="X56" s="162"/>
      <c r="Y56" s="162"/>
    </row>
    <row r="57">
      <c r="A57" s="170" t="s">
        <v>174</v>
      </c>
      <c r="B57" s="159">
        <v>108.7</v>
      </c>
      <c r="C57" s="159">
        <v>1.0</v>
      </c>
      <c r="D57" s="159">
        <v>10.0</v>
      </c>
      <c r="E57" s="160"/>
      <c r="F57" s="161" t="s">
        <v>221</v>
      </c>
      <c r="G57" s="159">
        <v>97.02</v>
      </c>
      <c r="H57" s="159">
        <v>1.0</v>
      </c>
      <c r="I57" s="159">
        <v>10.0</v>
      </c>
      <c r="J57" s="160"/>
      <c r="K57" s="162"/>
      <c r="L57" s="162"/>
      <c r="M57" s="162"/>
      <c r="N57" s="162"/>
      <c r="O57" s="160"/>
      <c r="P57" s="162"/>
      <c r="Q57" s="162"/>
      <c r="R57" s="162"/>
      <c r="S57" s="162"/>
      <c r="T57" s="162"/>
      <c r="U57" s="162"/>
      <c r="V57" s="162"/>
      <c r="W57" s="162"/>
      <c r="X57" s="162"/>
      <c r="Y57" s="162"/>
    </row>
    <row r="58">
      <c r="A58" s="170" t="s">
        <v>481</v>
      </c>
      <c r="B58" s="159">
        <v>79.84</v>
      </c>
      <c r="C58" s="159">
        <v>0.0</v>
      </c>
      <c r="D58" s="159">
        <v>11.0</v>
      </c>
      <c r="E58" s="160"/>
      <c r="F58" s="161" t="s">
        <v>100</v>
      </c>
      <c r="G58" s="159">
        <v>93.9</v>
      </c>
      <c r="H58" s="159">
        <v>0.0</v>
      </c>
      <c r="I58" s="159">
        <v>11.0</v>
      </c>
      <c r="J58" s="160"/>
      <c r="K58" s="162"/>
      <c r="L58" s="162"/>
      <c r="M58" s="162"/>
      <c r="N58" s="162"/>
      <c r="O58" s="160"/>
      <c r="P58" s="162"/>
      <c r="Q58" s="162"/>
      <c r="R58" s="162"/>
      <c r="S58" s="162"/>
      <c r="T58" s="162"/>
      <c r="U58" s="162"/>
      <c r="V58" s="162"/>
      <c r="W58" s="162"/>
      <c r="X58" s="162"/>
      <c r="Y58" s="162"/>
    </row>
    <row r="59">
      <c r="F59" s="161"/>
      <c r="G59" s="15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hidden="1" min="3" max="3" width="12.63"/>
    <col customWidth="1" min="4" max="5" width="18.75"/>
    <col customWidth="1" hidden="1" min="8" max="8" width="30.13"/>
  </cols>
  <sheetData>
    <row r="1" ht="15.0" customHeight="1">
      <c r="B1" s="84"/>
      <c r="C1" s="85"/>
      <c r="D1" s="85"/>
      <c r="E1" s="85"/>
      <c r="F1" s="85"/>
      <c r="G1" s="85"/>
      <c r="H1" s="86"/>
    </row>
    <row r="2" ht="15.0" customHeight="1">
      <c r="B2" s="174" t="s">
        <v>628</v>
      </c>
      <c r="C2" s="88"/>
      <c r="D2" s="88"/>
      <c r="E2" s="88"/>
      <c r="F2" s="88"/>
      <c r="G2" s="88"/>
      <c r="H2" s="89"/>
    </row>
    <row r="3" ht="15.0" customHeight="1">
      <c r="B3" s="90" t="s">
        <v>400</v>
      </c>
      <c r="C3" s="90" t="s">
        <v>401</v>
      </c>
      <c r="D3" s="90" t="s">
        <v>32</v>
      </c>
      <c r="E3" s="90" t="s">
        <v>402</v>
      </c>
      <c r="F3" s="175" t="s">
        <v>33</v>
      </c>
      <c r="G3" s="90" t="s">
        <v>403</v>
      </c>
      <c r="H3" s="90" t="s">
        <v>44</v>
      </c>
    </row>
    <row r="4" ht="15.0" customHeight="1">
      <c r="B4" s="91">
        <v>1.01</v>
      </c>
      <c r="C4" s="92">
        <v>2.0</v>
      </c>
      <c r="D4" s="13" t="s">
        <v>221</v>
      </c>
      <c r="E4" s="12" t="s">
        <v>234</v>
      </c>
      <c r="F4" s="55" t="s">
        <v>51</v>
      </c>
      <c r="G4" s="12" t="s">
        <v>629</v>
      </c>
      <c r="H4" s="11"/>
    </row>
    <row r="5" ht="15.0" customHeight="1">
      <c r="B5" s="91">
        <v>1.02</v>
      </c>
      <c r="C5" s="92">
        <v>2.0</v>
      </c>
      <c r="D5" s="176" t="s">
        <v>269</v>
      </c>
      <c r="E5" s="12" t="s">
        <v>65</v>
      </c>
      <c r="F5" s="55" t="s">
        <v>51</v>
      </c>
      <c r="G5" s="12" t="s">
        <v>630</v>
      </c>
      <c r="H5" s="12" t="s">
        <v>631</v>
      </c>
    </row>
    <row r="6" ht="15.0" customHeight="1">
      <c r="B6" s="91">
        <v>1.03</v>
      </c>
      <c r="C6" s="92">
        <v>2.0</v>
      </c>
      <c r="D6" s="176" t="s">
        <v>79</v>
      </c>
      <c r="E6" s="12" t="s">
        <v>134</v>
      </c>
      <c r="F6" s="55" t="s">
        <v>46</v>
      </c>
      <c r="G6" s="12" t="s">
        <v>632</v>
      </c>
      <c r="H6" s="177"/>
    </row>
    <row r="7" ht="15.0" customHeight="1">
      <c r="B7" s="91">
        <v>1.04</v>
      </c>
      <c r="C7" s="92">
        <v>2.0</v>
      </c>
      <c r="D7" s="176" t="s">
        <v>297</v>
      </c>
      <c r="E7" s="12" t="s">
        <v>633</v>
      </c>
      <c r="F7" s="55" t="s">
        <v>51</v>
      </c>
      <c r="G7" s="12" t="s">
        <v>634</v>
      </c>
      <c r="H7" s="12" t="s">
        <v>635</v>
      </c>
    </row>
    <row r="8" ht="15.0" customHeight="1">
      <c r="B8" s="91">
        <v>1.05</v>
      </c>
      <c r="C8" s="92">
        <v>2.0</v>
      </c>
      <c r="D8" s="176" t="s">
        <v>221</v>
      </c>
      <c r="E8" s="12" t="s">
        <v>209</v>
      </c>
      <c r="F8" s="55" t="s">
        <v>46</v>
      </c>
      <c r="G8" s="12" t="s">
        <v>636</v>
      </c>
      <c r="H8" s="12" t="s">
        <v>637</v>
      </c>
    </row>
    <row r="9" ht="15.0" customHeight="1">
      <c r="B9" s="94">
        <v>1.06</v>
      </c>
      <c r="C9" s="92">
        <v>2.0</v>
      </c>
      <c r="D9" s="176" t="s">
        <v>79</v>
      </c>
      <c r="E9" s="176" t="s">
        <v>136</v>
      </c>
      <c r="F9" s="55" t="s">
        <v>51</v>
      </c>
      <c r="G9" s="176" t="s">
        <v>638</v>
      </c>
      <c r="H9" s="12" t="s">
        <v>71</v>
      </c>
    </row>
    <row r="10" ht="15.0" customHeight="1">
      <c r="B10" s="94">
        <v>1.07</v>
      </c>
      <c r="C10" s="92">
        <v>2.0</v>
      </c>
      <c r="D10" s="176" t="s">
        <v>45</v>
      </c>
      <c r="E10" s="12" t="s">
        <v>639</v>
      </c>
      <c r="F10" s="55" t="s">
        <v>55</v>
      </c>
      <c r="G10" s="12" t="s">
        <v>640</v>
      </c>
      <c r="H10" s="11"/>
    </row>
    <row r="11" ht="15.0" customHeight="1">
      <c r="B11" s="178">
        <v>1.08</v>
      </c>
      <c r="C11" s="92">
        <v>2.0</v>
      </c>
      <c r="D11" s="176" t="s">
        <v>341</v>
      </c>
      <c r="E11" s="12" t="s">
        <v>330</v>
      </c>
      <c r="F11" s="55" t="s">
        <v>51</v>
      </c>
      <c r="G11" s="12" t="s">
        <v>641</v>
      </c>
      <c r="H11" s="12" t="s">
        <v>112</v>
      </c>
    </row>
    <row r="12" ht="15.0" customHeight="1">
      <c r="B12" s="91">
        <v>1.09</v>
      </c>
      <c r="C12" s="92">
        <v>2.0</v>
      </c>
      <c r="D12" s="13" t="s">
        <v>79</v>
      </c>
      <c r="E12" s="12" t="s">
        <v>139</v>
      </c>
      <c r="F12" s="55" t="s">
        <v>60</v>
      </c>
      <c r="G12" s="12" t="s">
        <v>642</v>
      </c>
      <c r="H12" s="12" t="s">
        <v>116</v>
      </c>
    </row>
    <row r="13" ht="15.0" customHeight="1">
      <c r="B13" s="91">
        <v>1.1</v>
      </c>
      <c r="C13" s="92">
        <v>2.0</v>
      </c>
      <c r="D13" s="176" t="s">
        <v>100</v>
      </c>
      <c r="E13" s="12" t="s">
        <v>110</v>
      </c>
      <c r="F13" s="55" t="s">
        <v>51</v>
      </c>
      <c r="G13" s="12" t="s">
        <v>643</v>
      </c>
      <c r="H13" s="12" t="s">
        <v>405</v>
      </c>
    </row>
    <row r="14" ht="15.0" customHeight="1">
      <c r="B14" s="91">
        <v>1.11</v>
      </c>
      <c r="C14" s="92">
        <v>2.0</v>
      </c>
      <c r="D14" s="176" t="s">
        <v>245</v>
      </c>
      <c r="E14" s="12" t="s">
        <v>326</v>
      </c>
      <c r="F14" s="55" t="s">
        <v>46</v>
      </c>
      <c r="G14" s="12" t="s">
        <v>644</v>
      </c>
      <c r="H14" s="12" t="s">
        <v>645</v>
      </c>
    </row>
    <row r="15" ht="15.0" customHeight="1">
      <c r="B15" s="91">
        <v>1.12</v>
      </c>
      <c r="C15" s="92">
        <v>2.0</v>
      </c>
      <c r="D15" s="176" t="s">
        <v>245</v>
      </c>
      <c r="E15" s="12" t="s">
        <v>327</v>
      </c>
      <c r="F15" s="55" t="s">
        <v>60</v>
      </c>
      <c r="G15" s="12" t="s">
        <v>646</v>
      </c>
      <c r="H15" s="12" t="s">
        <v>647</v>
      </c>
    </row>
    <row r="16" ht="15.0" customHeight="1">
      <c r="B16" s="174" t="s">
        <v>648</v>
      </c>
      <c r="C16" s="88"/>
      <c r="D16" s="88"/>
      <c r="E16" s="88"/>
      <c r="F16" s="88"/>
      <c r="G16" s="88"/>
      <c r="H16" s="89"/>
    </row>
    <row r="17" ht="15.0" customHeight="1">
      <c r="B17" s="90" t="s">
        <v>400</v>
      </c>
      <c r="C17" s="90" t="s">
        <v>401</v>
      </c>
      <c r="D17" s="90" t="s">
        <v>32</v>
      </c>
      <c r="E17" s="90" t="s">
        <v>402</v>
      </c>
      <c r="F17" s="175" t="s">
        <v>33</v>
      </c>
      <c r="G17" s="90" t="s">
        <v>403</v>
      </c>
      <c r="H17" s="90" t="s">
        <v>44</v>
      </c>
    </row>
    <row r="18" ht="15.0" customHeight="1">
      <c r="B18" s="91">
        <v>2.01</v>
      </c>
      <c r="C18" s="92">
        <v>1.0</v>
      </c>
      <c r="D18" s="13" t="s">
        <v>221</v>
      </c>
      <c r="E18" s="12" t="s">
        <v>235</v>
      </c>
      <c r="F18" s="55" t="s">
        <v>46</v>
      </c>
      <c r="G18" s="12" t="s">
        <v>642</v>
      </c>
      <c r="H18" s="11"/>
    </row>
    <row r="19" ht="15.0" customHeight="1">
      <c r="B19" s="91">
        <v>2.02</v>
      </c>
      <c r="C19" s="92">
        <v>1.0</v>
      </c>
      <c r="D19" s="176" t="s">
        <v>297</v>
      </c>
      <c r="E19" s="12" t="s">
        <v>69</v>
      </c>
      <c r="F19" s="55" t="s">
        <v>46</v>
      </c>
      <c r="G19" s="12" t="s">
        <v>649</v>
      </c>
      <c r="H19" s="12" t="s">
        <v>650</v>
      </c>
    </row>
    <row r="20" ht="15.0" customHeight="1">
      <c r="B20" s="91">
        <v>2.03</v>
      </c>
      <c r="C20" s="92">
        <v>1.0</v>
      </c>
      <c r="D20" s="176" t="s">
        <v>221</v>
      </c>
      <c r="E20" s="12" t="s">
        <v>213</v>
      </c>
      <c r="F20" s="55" t="s">
        <v>51</v>
      </c>
      <c r="G20" s="12" t="s">
        <v>651</v>
      </c>
      <c r="H20" s="12" t="s">
        <v>200</v>
      </c>
    </row>
    <row r="21" ht="15.0" customHeight="1">
      <c r="B21" s="91">
        <v>2.04</v>
      </c>
      <c r="C21" s="92">
        <v>1.0</v>
      </c>
      <c r="D21" s="176" t="s">
        <v>245</v>
      </c>
      <c r="E21" s="12" t="s">
        <v>70</v>
      </c>
      <c r="F21" s="55" t="s">
        <v>46</v>
      </c>
      <c r="G21" s="12" t="s">
        <v>652</v>
      </c>
      <c r="H21" s="12" t="s">
        <v>223</v>
      </c>
    </row>
    <row r="22" ht="15.0" customHeight="1">
      <c r="B22" s="91">
        <v>2.05</v>
      </c>
      <c r="C22" s="92">
        <v>1.0</v>
      </c>
      <c r="D22" s="176" t="s">
        <v>269</v>
      </c>
      <c r="E22" s="12" t="s">
        <v>653</v>
      </c>
      <c r="F22" s="55" t="s">
        <v>55</v>
      </c>
      <c r="G22" s="12" t="s">
        <v>651</v>
      </c>
      <c r="H22" s="12" t="s">
        <v>270</v>
      </c>
    </row>
    <row r="23" ht="15.0" customHeight="1">
      <c r="B23" s="91">
        <v>2.06</v>
      </c>
      <c r="C23" s="92">
        <v>1.0</v>
      </c>
      <c r="D23" s="176" t="s">
        <v>100</v>
      </c>
      <c r="E23" s="12" t="s">
        <v>113</v>
      </c>
      <c r="F23" s="55" t="s">
        <v>46</v>
      </c>
      <c r="G23" s="12" t="s">
        <v>629</v>
      </c>
      <c r="H23" s="12" t="s">
        <v>654</v>
      </c>
    </row>
    <row r="24" ht="15.0" customHeight="1">
      <c r="B24" s="94">
        <v>2.07</v>
      </c>
      <c r="C24" s="92">
        <v>1.0</v>
      </c>
      <c r="D24" s="176" t="s">
        <v>297</v>
      </c>
      <c r="E24" s="12" t="s">
        <v>332</v>
      </c>
      <c r="F24" s="55" t="s">
        <v>46</v>
      </c>
      <c r="G24" s="12" t="s">
        <v>630</v>
      </c>
      <c r="H24" s="12" t="s">
        <v>655</v>
      </c>
    </row>
    <row r="25" ht="15.0" customHeight="1">
      <c r="B25" s="91">
        <v>2.08</v>
      </c>
      <c r="C25" s="92">
        <v>1.0</v>
      </c>
      <c r="D25" s="13" t="s">
        <v>341</v>
      </c>
      <c r="E25" s="12" t="s">
        <v>353</v>
      </c>
      <c r="F25" s="55" t="s">
        <v>60</v>
      </c>
      <c r="G25" s="12" t="s">
        <v>656</v>
      </c>
      <c r="H25" s="11"/>
    </row>
    <row r="26" ht="15.0" customHeight="1">
      <c r="B26" s="94">
        <v>2.09</v>
      </c>
      <c r="C26" s="92">
        <v>1.0</v>
      </c>
      <c r="D26" s="176" t="s">
        <v>199</v>
      </c>
      <c r="E26" s="12" t="s">
        <v>210</v>
      </c>
      <c r="F26" s="55" t="s">
        <v>51</v>
      </c>
      <c r="G26" s="12" t="s">
        <v>632</v>
      </c>
      <c r="H26" s="12" t="s">
        <v>93</v>
      </c>
    </row>
    <row r="27" ht="15.0" customHeight="1">
      <c r="B27" s="91">
        <v>2.1</v>
      </c>
      <c r="C27" s="92">
        <v>1.0</v>
      </c>
      <c r="D27" s="176" t="s">
        <v>245</v>
      </c>
      <c r="E27" s="12" t="s">
        <v>335</v>
      </c>
      <c r="F27" s="55" t="s">
        <v>60</v>
      </c>
      <c r="G27" s="12" t="s">
        <v>657</v>
      </c>
      <c r="H27" s="12" t="s">
        <v>658</v>
      </c>
    </row>
    <row r="28" ht="15.0" customHeight="1">
      <c r="B28" s="91">
        <v>2.11</v>
      </c>
      <c r="C28" s="92">
        <v>1.0</v>
      </c>
      <c r="D28" s="176" t="s">
        <v>100</v>
      </c>
      <c r="E28" s="12" t="s">
        <v>659</v>
      </c>
      <c r="F28" s="55" t="s">
        <v>51</v>
      </c>
      <c r="G28" s="12" t="s">
        <v>660</v>
      </c>
      <c r="H28" s="12" t="s">
        <v>75</v>
      </c>
    </row>
    <row r="29" ht="15.0" customHeight="1">
      <c r="B29" s="91">
        <v>2.12</v>
      </c>
      <c r="C29" s="92">
        <v>1.0</v>
      </c>
      <c r="D29" s="176" t="s">
        <v>245</v>
      </c>
      <c r="E29" s="12" t="s">
        <v>339</v>
      </c>
      <c r="F29" s="55" t="s">
        <v>46</v>
      </c>
      <c r="G29" s="12" t="s">
        <v>634</v>
      </c>
      <c r="H29" s="12" t="s">
        <v>661</v>
      </c>
    </row>
    <row r="30">
      <c r="F30" s="136"/>
    </row>
    <row r="31">
      <c r="F31" s="136"/>
    </row>
    <row r="32">
      <c r="F32" s="136"/>
    </row>
    <row r="33">
      <c r="F33" s="136"/>
    </row>
    <row r="34">
      <c r="F34" s="136"/>
    </row>
    <row r="35">
      <c r="F35" s="136"/>
    </row>
    <row r="36">
      <c r="F36" s="136"/>
    </row>
    <row r="37">
      <c r="F37" s="136"/>
    </row>
    <row r="38">
      <c r="F38" s="136"/>
    </row>
    <row r="39">
      <c r="F39" s="136"/>
    </row>
    <row r="40">
      <c r="F40" s="136"/>
    </row>
    <row r="41">
      <c r="F41" s="136"/>
    </row>
    <row r="42">
      <c r="F42" s="136"/>
    </row>
    <row r="43">
      <c r="F43" s="136"/>
    </row>
    <row r="44">
      <c r="F44" s="136"/>
    </row>
    <row r="45">
      <c r="F45" s="136"/>
    </row>
    <row r="46">
      <c r="F46" s="136"/>
    </row>
    <row r="47">
      <c r="F47" s="136"/>
    </row>
    <row r="48">
      <c r="F48" s="136"/>
    </row>
    <row r="49">
      <c r="F49" s="136"/>
    </row>
    <row r="50">
      <c r="F50" s="136"/>
    </row>
    <row r="51">
      <c r="F51" s="136"/>
    </row>
    <row r="52">
      <c r="F52" s="136"/>
    </row>
    <row r="53">
      <c r="F53" s="136"/>
    </row>
    <row r="54">
      <c r="F54" s="136"/>
    </row>
    <row r="55">
      <c r="F55" s="136"/>
    </row>
    <row r="56">
      <c r="F56" s="136"/>
    </row>
    <row r="57">
      <c r="F57" s="136"/>
    </row>
    <row r="58">
      <c r="F58" s="136"/>
    </row>
    <row r="59">
      <c r="F59" s="136"/>
    </row>
    <row r="60">
      <c r="F60" s="136"/>
    </row>
    <row r="61">
      <c r="F61" s="136"/>
    </row>
    <row r="62">
      <c r="F62" s="136"/>
    </row>
    <row r="63">
      <c r="F63" s="136"/>
    </row>
    <row r="64">
      <c r="F64" s="136"/>
    </row>
    <row r="65">
      <c r="F65" s="136"/>
    </row>
    <row r="66">
      <c r="F66" s="136"/>
    </row>
    <row r="67">
      <c r="F67" s="136"/>
    </row>
    <row r="68">
      <c r="F68" s="136"/>
    </row>
    <row r="69">
      <c r="F69" s="136"/>
    </row>
    <row r="70">
      <c r="F70" s="136"/>
    </row>
    <row r="71">
      <c r="F71" s="136"/>
    </row>
    <row r="72">
      <c r="F72" s="136"/>
    </row>
    <row r="73">
      <c r="F73" s="136"/>
    </row>
    <row r="74">
      <c r="F74" s="136"/>
    </row>
    <row r="75">
      <c r="F75" s="136"/>
    </row>
    <row r="76">
      <c r="F76" s="136"/>
    </row>
    <row r="77">
      <c r="F77" s="136"/>
    </row>
    <row r="78">
      <c r="F78" s="136"/>
    </row>
    <row r="79">
      <c r="F79" s="136"/>
    </row>
    <row r="80">
      <c r="F80" s="136"/>
    </row>
    <row r="81">
      <c r="F81" s="136"/>
    </row>
    <row r="82">
      <c r="F82" s="136"/>
    </row>
    <row r="83">
      <c r="F83" s="136"/>
    </row>
    <row r="84">
      <c r="F84" s="136"/>
    </row>
    <row r="85">
      <c r="F85" s="136"/>
    </row>
    <row r="86">
      <c r="F86" s="136"/>
    </row>
    <row r="87">
      <c r="F87" s="136"/>
    </row>
    <row r="88">
      <c r="F88" s="136"/>
    </row>
    <row r="89">
      <c r="F89" s="136"/>
    </row>
    <row r="90">
      <c r="F90" s="136"/>
    </row>
    <row r="91">
      <c r="F91" s="136"/>
    </row>
    <row r="92">
      <c r="F92" s="136"/>
    </row>
    <row r="93">
      <c r="F93" s="136"/>
    </row>
    <row r="94">
      <c r="F94" s="136"/>
    </row>
    <row r="95">
      <c r="F95" s="136"/>
    </row>
    <row r="96">
      <c r="F96" s="136"/>
    </row>
    <row r="97">
      <c r="F97" s="136"/>
    </row>
    <row r="98">
      <c r="F98" s="136"/>
    </row>
    <row r="99">
      <c r="F99" s="136"/>
    </row>
    <row r="100">
      <c r="F100" s="136"/>
    </row>
    <row r="101">
      <c r="F101" s="136"/>
    </row>
    <row r="102">
      <c r="F102" s="136"/>
    </row>
    <row r="103">
      <c r="F103" s="136"/>
    </row>
    <row r="104">
      <c r="F104" s="136"/>
    </row>
    <row r="105">
      <c r="F105" s="136"/>
    </row>
    <row r="106">
      <c r="F106" s="136"/>
    </row>
    <row r="107">
      <c r="F107" s="136"/>
    </row>
    <row r="108">
      <c r="F108" s="136"/>
    </row>
    <row r="109">
      <c r="F109" s="136"/>
    </row>
    <row r="110">
      <c r="F110" s="136"/>
    </row>
    <row r="111">
      <c r="F111" s="136"/>
    </row>
    <row r="112">
      <c r="F112" s="136"/>
    </row>
    <row r="113">
      <c r="F113" s="136"/>
    </row>
    <row r="114">
      <c r="F114" s="136"/>
    </row>
    <row r="115">
      <c r="F115" s="136"/>
    </row>
    <row r="116">
      <c r="F116" s="136"/>
    </row>
    <row r="117">
      <c r="F117" s="136"/>
    </row>
    <row r="118">
      <c r="F118" s="136"/>
    </row>
    <row r="119">
      <c r="F119" s="136"/>
    </row>
    <row r="120">
      <c r="F120" s="136"/>
    </row>
    <row r="121">
      <c r="F121" s="136"/>
    </row>
    <row r="122">
      <c r="F122" s="136"/>
    </row>
    <row r="123">
      <c r="F123" s="136"/>
    </row>
    <row r="124">
      <c r="F124" s="136"/>
    </row>
    <row r="125">
      <c r="F125" s="136"/>
    </row>
    <row r="126">
      <c r="F126" s="136"/>
    </row>
    <row r="127">
      <c r="F127" s="136"/>
    </row>
    <row r="128">
      <c r="F128" s="136"/>
    </row>
    <row r="129">
      <c r="F129" s="136"/>
    </row>
    <row r="130">
      <c r="F130" s="136"/>
    </row>
    <row r="131">
      <c r="F131" s="136"/>
    </row>
    <row r="132">
      <c r="F132" s="136"/>
    </row>
    <row r="133">
      <c r="F133" s="136"/>
    </row>
    <row r="134">
      <c r="F134" s="136"/>
    </row>
    <row r="135">
      <c r="F135" s="136"/>
    </row>
    <row r="136">
      <c r="F136" s="136"/>
    </row>
    <row r="137">
      <c r="F137" s="136"/>
    </row>
    <row r="138">
      <c r="F138" s="136"/>
    </row>
    <row r="139">
      <c r="F139" s="136"/>
    </row>
    <row r="140">
      <c r="F140" s="136"/>
    </row>
    <row r="141">
      <c r="F141" s="136"/>
    </row>
    <row r="142">
      <c r="F142" s="136"/>
    </row>
    <row r="143">
      <c r="F143" s="136"/>
    </row>
    <row r="144">
      <c r="F144" s="136"/>
    </row>
    <row r="145">
      <c r="F145" s="136"/>
    </row>
    <row r="146">
      <c r="F146" s="136"/>
    </row>
    <row r="147">
      <c r="F147" s="136"/>
    </row>
    <row r="148">
      <c r="F148" s="136"/>
    </row>
    <row r="149">
      <c r="F149" s="136"/>
    </row>
    <row r="150">
      <c r="F150" s="136"/>
    </row>
    <row r="151">
      <c r="F151" s="136"/>
    </row>
    <row r="152">
      <c r="F152" s="136"/>
    </row>
    <row r="153">
      <c r="F153" s="136"/>
    </row>
    <row r="154">
      <c r="F154" s="136"/>
    </row>
    <row r="155">
      <c r="F155" s="136"/>
    </row>
    <row r="156">
      <c r="F156" s="136"/>
    </row>
    <row r="157">
      <c r="F157" s="136"/>
    </row>
    <row r="158">
      <c r="F158" s="136"/>
    </row>
    <row r="159">
      <c r="F159" s="136"/>
    </row>
    <row r="160">
      <c r="F160" s="136"/>
    </row>
    <row r="161">
      <c r="F161" s="136"/>
    </row>
    <row r="162">
      <c r="F162" s="136"/>
    </row>
    <row r="163">
      <c r="F163" s="136"/>
    </row>
    <row r="164">
      <c r="F164" s="136"/>
    </row>
    <row r="165">
      <c r="F165" s="136"/>
    </row>
    <row r="166">
      <c r="F166" s="136"/>
    </row>
    <row r="167">
      <c r="F167" s="136"/>
    </row>
    <row r="168">
      <c r="F168" s="136"/>
    </row>
    <row r="169">
      <c r="F169" s="136"/>
    </row>
    <row r="170">
      <c r="F170" s="136"/>
    </row>
    <row r="171">
      <c r="F171" s="136"/>
    </row>
    <row r="172">
      <c r="F172" s="136"/>
    </row>
    <row r="173">
      <c r="F173" s="136"/>
    </row>
    <row r="174">
      <c r="F174" s="136"/>
    </row>
    <row r="175">
      <c r="F175" s="136"/>
    </row>
    <row r="176">
      <c r="F176" s="136"/>
    </row>
    <row r="177">
      <c r="F177" s="136"/>
    </row>
    <row r="178">
      <c r="F178" s="136"/>
    </row>
    <row r="179">
      <c r="F179" s="136"/>
    </row>
    <row r="180">
      <c r="F180" s="136"/>
    </row>
    <row r="181">
      <c r="F181" s="136"/>
    </row>
    <row r="182">
      <c r="F182" s="136"/>
    </row>
    <row r="183">
      <c r="F183" s="136"/>
    </row>
    <row r="184">
      <c r="F184" s="136"/>
    </row>
    <row r="185">
      <c r="F185" s="136"/>
    </row>
    <row r="186">
      <c r="F186" s="136"/>
    </row>
    <row r="187">
      <c r="F187" s="136"/>
    </row>
    <row r="188">
      <c r="F188" s="136"/>
    </row>
    <row r="189">
      <c r="F189" s="136"/>
    </row>
    <row r="190">
      <c r="F190" s="136"/>
    </row>
    <row r="191">
      <c r="F191" s="136"/>
    </row>
    <row r="192">
      <c r="F192" s="136"/>
    </row>
    <row r="193">
      <c r="F193" s="136"/>
    </row>
    <row r="194">
      <c r="F194" s="136"/>
    </row>
    <row r="195">
      <c r="F195" s="136"/>
    </row>
    <row r="196">
      <c r="F196" s="136"/>
    </row>
    <row r="197">
      <c r="F197" s="136"/>
    </row>
    <row r="198">
      <c r="F198" s="136"/>
    </row>
    <row r="199">
      <c r="F199" s="136"/>
    </row>
    <row r="200">
      <c r="F200" s="136"/>
    </row>
    <row r="201">
      <c r="F201" s="136"/>
    </row>
    <row r="202">
      <c r="F202" s="136"/>
    </row>
    <row r="203">
      <c r="F203" s="136"/>
    </row>
    <row r="204">
      <c r="F204" s="136"/>
    </row>
    <row r="205">
      <c r="F205" s="136"/>
    </row>
    <row r="206">
      <c r="F206" s="136"/>
    </row>
    <row r="207">
      <c r="F207" s="136"/>
    </row>
    <row r="208">
      <c r="F208" s="136"/>
    </row>
    <row r="209">
      <c r="F209" s="136"/>
    </row>
    <row r="210">
      <c r="F210" s="136"/>
    </row>
    <row r="211">
      <c r="F211" s="136"/>
    </row>
    <row r="212">
      <c r="F212" s="136"/>
    </row>
    <row r="213">
      <c r="F213" s="136"/>
    </row>
    <row r="214">
      <c r="F214" s="136"/>
    </row>
    <row r="215">
      <c r="F215" s="136"/>
    </row>
    <row r="216">
      <c r="F216" s="136"/>
    </row>
    <row r="217">
      <c r="F217" s="136"/>
    </row>
    <row r="218">
      <c r="F218" s="136"/>
    </row>
    <row r="219">
      <c r="F219" s="136"/>
    </row>
    <row r="220">
      <c r="F220" s="136"/>
    </row>
    <row r="221">
      <c r="F221" s="136"/>
    </row>
    <row r="222">
      <c r="F222" s="136"/>
    </row>
    <row r="223">
      <c r="F223" s="136"/>
    </row>
    <row r="224">
      <c r="F224" s="136"/>
    </row>
    <row r="225">
      <c r="F225" s="136"/>
    </row>
    <row r="226">
      <c r="F226" s="136"/>
    </row>
    <row r="227">
      <c r="F227" s="136"/>
    </row>
    <row r="228">
      <c r="F228" s="136"/>
    </row>
    <row r="229">
      <c r="F229" s="136"/>
    </row>
    <row r="230">
      <c r="F230" s="136"/>
    </row>
    <row r="231">
      <c r="F231" s="136"/>
    </row>
    <row r="232">
      <c r="F232" s="136"/>
    </row>
    <row r="233">
      <c r="F233" s="136"/>
    </row>
    <row r="234">
      <c r="F234" s="136"/>
    </row>
    <row r="235">
      <c r="F235" s="136"/>
    </row>
    <row r="236">
      <c r="F236" s="136"/>
    </row>
    <row r="237">
      <c r="F237" s="136"/>
    </row>
    <row r="238">
      <c r="F238" s="136"/>
    </row>
    <row r="239">
      <c r="F239" s="136"/>
    </row>
    <row r="240">
      <c r="F240" s="136"/>
    </row>
    <row r="241">
      <c r="F241" s="136"/>
    </row>
    <row r="242">
      <c r="F242" s="136"/>
    </row>
    <row r="243">
      <c r="F243" s="136"/>
    </row>
    <row r="244">
      <c r="F244" s="136"/>
    </row>
    <row r="245">
      <c r="F245" s="136"/>
    </row>
    <row r="246">
      <c r="F246" s="136"/>
    </row>
    <row r="247">
      <c r="F247" s="136"/>
    </row>
    <row r="248">
      <c r="F248" s="136"/>
    </row>
    <row r="249">
      <c r="F249" s="136"/>
    </row>
    <row r="250">
      <c r="F250" s="136"/>
    </row>
    <row r="251">
      <c r="F251" s="136"/>
    </row>
    <row r="252">
      <c r="F252" s="136"/>
    </row>
    <row r="253">
      <c r="F253" s="136"/>
    </row>
    <row r="254">
      <c r="F254" s="136"/>
    </row>
    <row r="255">
      <c r="F255" s="136"/>
    </row>
    <row r="256">
      <c r="F256" s="136"/>
    </row>
    <row r="257">
      <c r="F257" s="136"/>
    </row>
    <row r="258">
      <c r="F258" s="136"/>
    </row>
    <row r="259">
      <c r="F259" s="136"/>
    </row>
    <row r="260">
      <c r="F260" s="136"/>
    </row>
    <row r="261">
      <c r="F261" s="136"/>
    </row>
    <row r="262">
      <c r="F262" s="136"/>
    </row>
    <row r="263">
      <c r="F263" s="136"/>
    </row>
    <row r="264">
      <c r="F264" s="136"/>
    </row>
    <row r="265">
      <c r="F265" s="136"/>
    </row>
    <row r="266">
      <c r="F266" s="136"/>
    </row>
    <row r="267">
      <c r="F267" s="136"/>
    </row>
    <row r="268">
      <c r="F268" s="136"/>
    </row>
    <row r="269">
      <c r="F269" s="136"/>
    </row>
    <row r="270">
      <c r="F270" s="136"/>
    </row>
    <row r="271">
      <c r="F271" s="136"/>
    </row>
    <row r="272">
      <c r="F272" s="136"/>
    </row>
    <row r="273">
      <c r="F273" s="136"/>
    </row>
    <row r="274">
      <c r="F274" s="136"/>
    </row>
    <row r="275">
      <c r="F275" s="136"/>
    </row>
    <row r="276">
      <c r="F276" s="136"/>
    </row>
    <row r="277">
      <c r="F277" s="136"/>
    </row>
    <row r="278">
      <c r="F278" s="136"/>
    </row>
    <row r="279">
      <c r="F279" s="136"/>
    </row>
    <row r="280">
      <c r="F280" s="136"/>
    </row>
    <row r="281">
      <c r="F281" s="136"/>
    </row>
    <row r="282">
      <c r="F282" s="136"/>
    </row>
    <row r="283">
      <c r="F283" s="136"/>
    </row>
    <row r="284">
      <c r="F284" s="136"/>
    </row>
    <row r="285">
      <c r="F285" s="136"/>
    </row>
    <row r="286">
      <c r="F286" s="136"/>
    </row>
    <row r="287">
      <c r="F287" s="136"/>
    </row>
    <row r="288">
      <c r="F288" s="136"/>
    </row>
    <row r="289">
      <c r="F289" s="136"/>
    </row>
    <row r="290">
      <c r="F290" s="136"/>
    </row>
    <row r="291">
      <c r="F291" s="136"/>
    </row>
    <row r="292">
      <c r="F292" s="136"/>
    </row>
    <row r="293">
      <c r="F293" s="136"/>
    </row>
    <row r="294">
      <c r="F294" s="136"/>
    </row>
    <row r="295">
      <c r="F295" s="136"/>
    </row>
    <row r="296">
      <c r="F296" s="136"/>
    </row>
    <row r="297">
      <c r="F297" s="136"/>
    </row>
    <row r="298">
      <c r="F298" s="136"/>
    </row>
    <row r="299">
      <c r="F299" s="136"/>
    </row>
    <row r="300">
      <c r="F300" s="136"/>
    </row>
    <row r="301">
      <c r="F301" s="136"/>
    </row>
    <row r="302">
      <c r="F302" s="136"/>
    </row>
    <row r="303">
      <c r="F303" s="136"/>
    </row>
    <row r="304">
      <c r="F304" s="136"/>
    </row>
    <row r="305">
      <c r="F305" s="136"/>
    </row>
    <row r="306">
      <c r="F306" s="136"/>
    </row>
    <row r="307">
      <c r="F307" s="136"/>
    </row>
    <row r="308">
      <c r="F308" s="136"/>
    </row>
    <row r="309">
      <c r="F309" s="136"/>
    </row>
    <row r="310">
      <c r="F310" s="136"/>
    </row>
    <row r="311">
      <c r="F311" s="136"/>
    </row>
    <row r="312">
      <c r="F312" s="136"/>
    </row>
    <row r="313">
      <c r="F313" s="136"/>
    </row>
    <row r="314">
      <c r="F314" s="136"/>
    </row>
    <row r="315">
      <c r="F315" s="136"/>
    </row>
    <row r="316">
      <c r="F316" s="136"/>
    </row>
    <row r="317">
      <c r="F317" s="136"/>
    </row>
    <row r="318">
      <c r="F318" s="136"/>
    </row>
    <row r="319">
      <c r="F319" s="136"/>
    </row>
    <row r="320">
      <c r="F320" s="136"/>
    </row>
    <row r="321">
      <c r="F321" s="136"/>
    </row>
    <row r="322">
      <c r="F322" s="136"/>
    </row>
    <row r="323">
      <c r="F323" s="136"/>
    </row>
    <row r="324">
      <c r="F324" s="136"/>
    </row>
    <row r="325">
      <c r="F325" s="136"/>
    </row>
    <row r="326">
      <c r="F326" s="136"/>
    </row>
    <row r="327">
      <c r="F327" s="136"/>
    </row>
    <row r="328">
      <c r="F328" s="136"/>
    </row>
    <row r="329">
      <c r="F329" s="136"/>
    </row>
    <row r="330">
      <c r="F330" s="136"/>
    </row>
    <row r="331">
      <c r="F331" s="136"/>
    </row>
    <row r="332">
      <c r="F332" s="136"/>
    </row>
    <row r="333">
      <c r="F333" s="136"/>
    </row>
    <row r="334">
      <c r="F334" s="136"/>
    </row>
    <row r="335">
      <c r="F335" s="136"/>
    </row>
    <row r="336">
      <c r="F336" s="136"/>
    </row>
    <row r="337">
      <c r="F337" s="136"/>
    </row>
    <row r="338">
      <c r="F338" s="136"/>
    </row>
    <row r="339">
      <c r="F339" s="136"/>
    </row>
    <row r="340">
      <c r="F340" s="136"/>
    </row>
    <row r="341">
      <c r="F341" s="136"/>
    </row>
    <row r="342">
      <c r="F342" s="136"/>
    </row>
    <row r="343">
      <c r="F343" s="136"/>
    </row>
    <row r="344">
      <c r="F344" s="136"/>
    </row>
    <row r="345">
      <c r="F345" s="136"/>
    </row>
    <row r="346">
      <c r="F346" s="136"/>
    </row>
    <row r="347">
      <c r="F347" s="136"/>
    </row>
    <row r="348">
      <c r="F348" s="136"/>
    </row>
    <row r="349">
      <c r="F349" s="136"/>
    </row>
    <row r="350">
      <c r="F350" s="136"/>
    </row>
    <row r="351">
      <c r="F351" s="136"/>
    </row>
    <row r="352">
      <c r="F352" s="136"/>
    </row>
    <row r="353">
      <c r="F353" s="136"/>
    </row>
    <row r="354">
      <c r="F354" s="136"/>
    </row>
    <row r="355">
      <c r="F355" s="136"/>
    </row>
    <row r="356">
      <c r="F356" s="136"/>
    </row>
    <row r="357">
      <c r="F357" s="136"/>
    </row>
    <row r="358">
      <c r="F358" s="136"/>
    </row>
    <row r="359">
      <c r="F359" s="136"/>
    </row>
    <row r="360">
      <c r="F360" s="136"/>
    </row>
    <row r="361">
      <c r="F361" s="136"/>
    </row>
    <row r="362">
      <c r="F362" s="136"/>
    </row>
    <row r="363">
      <c r="F363" s="136"/>
    </row>
    <row r="364">
      <c r="F364" s="136"/>
    </row>
    <row r="365">
      <c r="F365" s="136"/>
    </row>
    <row r="366">
      <c r="F366" s="136"/>
    </row>
    <row r="367">
      <c r="F367" s="136"/>
    </row>
    <row r="368">
      <c r="F368" s="136"/>
    </row>
    <row r="369">
      <c r="F369" s="136"/>
    </row>
    <row r="370">
      <c r="F370" s="136"/>
    </row>
    <row r="371">
      <c r="F371" s="136"/>
    </row>
    <row r="372">
      <c r="F372" s="136"/>
    </row>
    <row r="373">
      <c r="F373" s="136"/>
    </row>
    <row r="374">
      <c r="F374" s="136"/>
    </row>
    <row r="375">
      <c r="F375" s="136"/>
    </row>
    <row r="376">
      <c r="F376" s="136"/>
    </row>
    <row r="377">
      <c r="F377" s="136"/>
    </row>
    <row r="378">
      <c r="F378" s="136"/>
    </row>
    <row r="379">
      <c r="F379" s="136"/>
    </row>
    <row r="380">
      <c r="F380" s="136"/>
    </row>
    <row r="381">
      <c r="F381" s="136"/>
    </row>
    <row r="382">
      <c r="F382" s="136"/>
    </row>
    <row r="383">
      <c r="F383" s="136"/>
    </row>
    <row r="384">
      <c r="F384" s="136"/>
    </row>
    <row r="385">
      <c r="F385" s="136"/>
    </row>
    <row r="386">
      <c r="F386" s="136"/>
    </row>
    <row r="387">
      <c r="F387" s="136"/>
    </row>
    <row r="388">
      <c r="F388" s="136"/>
    </row>
    <row r="389">
      <c r="F389" s="136"/>
    </row>
    <row r="390">
      <c r="F390" s="136"/>
    </row>
    <row r="391">
      <c r="F391" s="136"/>
    </row>
    <row r="392">
      <c r="F392" s="136"/>
    </row>
    <row r="393">
      <c r="F393" s="136"/>
    </row>
    <row r="394">
      <c r="F394" s="136"/>
    </row>
    <row r="395">
      <c r="F395" s="136"/>
    </row>
    <row r="396">
      <c r="F396" s="136"/>
    </row>
    <row r="397">
      <c r="F397" s="136"/>
    </row>
    <row r="398">
      <c r="F398" s="136"/>
    </row>
    <row r="399">
      <c r="F399" s="136"/>
    </row>
    <row r="400">
      <c r="F400" s="136"/>
    </row>
    <row r="401">
      <c r="F401" s="136"/>
    </row>
    <row r="402">
      <c r="F402" s="136"/>
    </row>
    <row r="403">
      <c r="F403" s="136"/>
    </row>
    <row r="404">
      <c r="F404" s="136"/>
    </row>
    <row r="405">
      <c r="F405" s="136"/>
    </row>
    <row r="406">
      <c r="F406" s="136"/>
    </row>
    <row r="407">
      <c r="F407" s="136"/>
    </row>
    <row r="408">
      <c r="F408" s="136"/>
    </row>
    <row r="409">
      <c r="F409" s="136"/>
    </row>
    <row r="410">
      <c r="F410" s="136"/>
    </row>
    <row r="411">
      <c r="F411" s="136"/>
    </row>
    <row r="412">
      <c r="F412" s="136"/>
    </row>
    <row r="413">
      <c r="F413" s="136"/>
    </row>
    <row r="414">
      <c r="F414" s="136"/>
    </row>
    <row r="415">
      <c r="F415" s="136"/>
    </row>
    <row r="416">
      <c r="F416" s="136"/>
    </row>
    <row r="417">
      <c r="F417" s="136"/>
    </row>
    <row r="418">
      <c r="F418" s="136"/>
    </row>
    <row r="419">
      <c r="F419" s="136"/>
    </row>
    <row r="420">
      <c r="F420" s="136"/>
    </row>
    <row r="421">
      <c r="F421" s="136"/>
    </row>
    <row r="422">
      <c r="F422" s="136"/>
    </row>
    <row r="423">
      <c r="F423" s="136"/>
    </row>
    <row r="424">
      <c r="F424" s="136"/>
    </row>
    <row r="425">
      <c r="F425" s="136"/>
    </row>
    <row r="426">
      <c r="F426" s="136"/>
    </row>
    <row r="427">
      <c r="F427" s="136"/>
    </row>
    <row r="428">
      <c r="F428" s="136"/>
    </row>
    <row r="429">
      <c r="F429" s="136"/>
    </row>
    <row r="430">
      <c r="F430" s="136"/>
    </row>
    <row r="431">
      <c r="F431" s="136"/>
    </row>
    <row r="432">
      <c r="F432" s="136"/>
    </row>
    <row r="433">
      <c r="F433" s="136"/>
    </row>
    <row r="434">
      <c r="F434" s="136"/>
    </row>
    <row r="435">
      <c r="F435" s="136"/>
    </row>
    <row r="436">
      <c r="F436" s="136"/>
    </row>
    <row r="437">
      <c r="F437" s="136"/>
    </row>
    <row r="438">
      <c r="F438" s="136"/>
    </row>
    <row r="439">
      <c r="F439" s="136"/>
    </row>
    <row r="440">
      <c r="F440" s="136"/>
    </row>
    <row r="441">
      <c r="F441" s="136"/>
    </row>
    <row r="442">
      <c r="F442" s="136"/>
    </row>
    <row r="443">
      <c r="F443" s="136"/>
    </row>
    <row r="444">
      <c r="F444" s="136"/>
    </row>
    <row r="445">
      <c r="F445" s="136"/>
    </row>
    <row r="446">
      <c r="F446" s="136"/>
    </row>
    <row r="447">
      <c r="F447" s="136"/>
    </row>
    <row r="448">
      <c r="F448" s="136"/>
    </row>
    <row r="449">
      <c r="F449" s="136"/>
    </row>
    <row r="450">
      <c r="F450" s="136"/>
    </row>
    <row r="451">
      <c r="F451" s="136"/>
    </row>
    <row r="452">
      <c r="F452" s="136"/>
    </row>
    <row r="453">
      <c r="F453" s="136"/>
    </row>
    <row r="454">
      <c r="F454" s="136"/>
    </row>
    <row r="455">
      <c r="F455" s="136"/>
    </row>
    <row r="456">
      <c r="F456" s="136"/>
    </row>
    <row r="457">
      <c r="F457" s="136"/>
    </row>
    <row r="458">
      <c r="F458" s="136"/>
    </row>
    <row r="459">
      <c r="F459" s="136"/>
    </row>
    <row r="460">
      <c r="F460" s="136"/>
    </row>
    <row r="461">
      <c r="F461" s="136"/>
    </row>
    <row r="462">
      <c r="F462" s="136"/>
    </row>
    <row r="463">
      <c r="F463" s="136"/>
    </row>
    <row r="464">
      <c r="F464" s="136"/>
    </row>
    <row r="465">
      <c r="F465" s="136"/>
    </row>
    <row r="466">
      <c r="F466" s="136"/>
    </row>
    <row r="467">
      <c r="F467" s="136"/>
    </row>
    <row r="468">
      <c r="F468" s="136"/>
    </row>
    <row r="469">
      <c r="F469" s="136"/>
    </row>
    <row r="470">
      <c r="F470" s="136"/>
    </row>
    <row r="471">
      <c r="F471" s="136"/>
    </row>
    <row r="472">
      <c r="F472" s="136"/>
    </row>
    <row r="473">
      <c r="F473" s="136"/>
    </row>
    <row r="474">
      <c r="F474" s="136"/>
    </row>
    <row r="475">
      <c r="F475" s="136"/>
    </row>
    <row r="476">
      <c r="F476" s="136"/>
    </row>
    <row r="477">
      <c r="F477" s="136"/>
    </row>
    <row r="478">
      <c r="F478" s="136"/>
    </row>
    <row r="479">
      <c r="F479" s="136"/>
    </row>
    <row r="480">
      <c r="F480" s="136"/>
    </row>
    <row r="481">
      <c r="F481" s="136"/>
    </row>
    <row r="482">
      <c r="F482" s="136"/>
    </row>
    <row r="483">
      <c r="F483" s="136"/>
    </row>
    <row r="484">
      <c r="F484" s="136"/>
    </row>
    <row r="485">
      <c r="F485" s="136"/>
    </row>
    <row r="486">
      <c r="F486" s="136"/>
    </row>
    <row r="487">
      <c r="F487" s="136"/>
    </row>
    <row r="488">
      <c r="F488" s="136"/>
    </row>
    <row r="489">
      <c r="F489" s="136"/>
    </row>
    <row r="490">
      <c r="F490" s="136"/>
    </row>
    <row r="491">
      <c r="F491" s="136"/>
    </row>
    <row r="492">
      <c r="F492" s="136"/>
    </row>
    <row r="493">
      <c r="F493" s="136"/>
    </row>
    <row r="494">
      <c r="F494" s="136"/>
    </row>
    <row r="495">
      <c r="F495" s="136"/>
    </row>
    <row r="496">
      <c r="F496" s="136"/>
    </row>
    <row r="497">
      <c r="F497" s="136"/>
    </row>
    <row r="498">
      <c r="F498" s="136"/>
    </row>
    <row r="499">
      <c r="F499" s="136"/>
    </row>
    <row r="500">
      <c r="F500" s="136"/>
    </row>
    <row r="501">
      <c r="F501" s="136"/>
    </row>
    <row r="502">
      <c r="F502" s="136"/>
    </row>
    <row r="503">
      <c r="F503" s="136"/>
    </row>
    <row r="504">
      <c r="F504" s="136"/>
    </row>
    <row r="505">
      <c r="F505" s="136"/>
    </row>
    <row r="506">
      <c r="F506" s="136"/>
    </row>
    <row r="507">
      <c r="F507" s="136"/>
    </row>
    <row r="508">
      <c r="F508" s="136"/>
    </row>
    <row r="509">
      <c r="F509" s="136"/>
    </row>
    <row r="510">
      <c r="F510" s="136"/>
    </row>
    <row r="511">
      <c r="F511" s="136"/>
    </row>
    <row r="512">
      <c r="F512" s="136"/>
    </row>
    <row r="513">
      <c r="F513" s="136"/>
    </row>
    <row r="514">
      <c r="F514" s="136"/>
    </row>
    <row r="515">
      <c r="F515" s="136"/>
    </row>
    <row r="516">
      <c r="F516" s="136"/>
    </row>
    <row r="517">
      <c r="F517" s="136"/>
    </row>
    <row r="518">
      <c r="F518" s="136"/>
    </row>
    <row r="519">
      <c r="F519" s="136"/>
    </row>
    <row r="520">
      <c r="F520" s="136"/>
    </row>
    <row r="521">
      <c r="F521" s="136"/>
    </row>
    <row r="522">
      <c r="F522" s="136"/>
    </row>
    <row r="523">
      <c r="F523" s="136"/>
    </row>
    <row r="524">
      <c r="F524" s="136"/>
    </row>
    <row r="525">
      <c r="F525" s="136"/>
    </row>
    <row r="526">
      <c r="F526" s="136"/>
    </row>
    <row r="527">
      <c r="F527" s="136"/>
    </row>
    <row r="528">
      <c r="F528" s="136"/>
    </row>
    <row r="529">
      <c r="F529" s="136"/>
    </row>
    <row r="530">
      <c r="F530" s="136"/>
    </row>
    <row r="531">
      <c r="F531" s="136"/>
    </row>
    <row r="532">
      <c r="F532" s="136"/>
    </row>
    <row r="533">
      <c r="F533" s="136"/>
    </row>
    <row r="534">
      <c r="F534" s="136"/>
    </row>
    <row r="535">
      <c r="F535" s="136"/>
    </row>
    <row r="536">
      <c r="F536" s="136"/>
    </row>
    <row r="537">
      <c r="F537" s="136"/>
    </row>
    <row r="538">
      <c r="F538" s="136"/>
    </row>
    <row r="539">
      <c r="F539" s="136"/>
    </row>
    <row r="540">
      <c r="F540" s="136"/>
    </row>
    <row r="541">
      <c r="F541" s="136"/>
    </row>
    <row r="542">
      <c r="F542" s="136"/>
    </row>
    <row r="543">
      <c r="F543" s="136"/>
    </row>
    <row r="544">
      <c r="F544" s="136"/>
    </row>
    <row r="545">
      <c r="F545" s="136"/>
    </row>
    <row r="546">
      <c r="F546" s="136"/>
    </row>
    <row r="547">
      <c r="F547" s="136"/>
    </row>
    <row r="548">
      <c r="F548" s="136"/>
    </row>
    <row r="549">
      <c r="F549" s="136"/>
    </row>
    <row r="550">
      <c r="F550" s="136"/>
    </row>
    <row r="551">
      <c r="F551" s="136"/>
    </row>
    <row r="552">
      <c r="F552" s="136"/>
    </row>
    <row r="553">
      <c r="F553" s="136"/>
    </row>
    <row r="554">
      <c r="F554" s="136"/>
    </row>
    <row r="555">
      <c r="F555" s="136"/>
    </row>
    <row r="556">
      <c r="F556" s="136"/>
    </row>
    <row r="557">
      <c r="F557" s="136"/>
    </row>
    <row r="558">
      <c r="F558" s="136"/>
    </row>
    <row r="559">
      <c r="F559" s="136"/>
    </row>
    <row r="560">
      <c r="F560" s="136"/>
    </row>
    <row r="561">
      <c r="F561" s="136"/>
    </row>
    <row r="562">
      <c r="F562" s="136"/>
    </row>
    <row r="563">
      <c r="F563" s="136"/>
    </row>
    <row r="564">
      <c r="F564" s="136"/>
    </row>
    <row r="565">
      <c r="F565" s="136"/>
    </row>
    <row r="566">
      <c r="F566" s="136"/>
    </row>
    <row r="567">
      <c r="F567" s="136"/>
    </row>
    <row r="568">
      <c r="F568" s="136"/>
    </row>
    <row r="569">
      <c r="F569" s="136"/>
    </row>
    <row r="570">
      <c r="F570" s="136"/>
    </row>
    <row r="571">
      <c r="F571" s="136"/>
    </row>
    <row r="572">
      <c r="F572" s="136"/>
    </row>
    <row r="573">
      <c r="F573" s="136"/>
    </row>
    <row r="574">
      <c r="F574" s="136"/>
    </row>
    <row r="575">
      <c r="F575" s="136"/>
    </row>
    <row r="576">
      <c r="F576" s="136"/>
    </row>
    <row r="577">
      <c r="F577" s="136"/>
    </row>
    <row r="578">
      <c r="F578" s="136"/>
    </row>
    <row r="579">
      <c r="F579" s="136"/>
    </row>
    <row r="580">
      <c r="F580" s="136"/>
    </row>
    <row r="581">
      <c r="F581" s="136"/>
    </row>
    <row r="582">
      <c r="F582" s="136"/>
    </row>
    <row r="583">
      <c r="F583" s="136"/>
    </row>
    <row r="584">
      <c r="F584" s="136"/>
    </row>
    <row r="585">
      <c r="F585" s="136"/>
    </row>
    <row r="586">
      <c r="F586" s="136"/>
    </row>
    <row r="587">
      <c r="F587" s="136"/>
    </row>
    <row r="588">
      <c r="F588" s="136"/>
    </row>
    <row r="589">
      <c r="F589" s="136"/>
    </row>
    <row r="590">
      <c r="F590" s="136"/>
    </row>
    <row r="591">
      <c r="F591" s="136"/>
    </row>
    <row r="592">
      <c r="F592" s="136"/>
    </row>
    <row r="593">
      <c r="F593" s="136"/>
    </row>
    <row r="594">
      <c r="F594" s="136"/>
    </row>
    <row r="595">
      <c r="F595" s="136"/>
    </row>
    <row r="596">
      <c r="F596" s="136"/>
    </row>
    <row r="597">
      <c r="F597" s="136"/>
    </row>
    <row r="598">
      <c r="F598" s="136"/>
    </row>
    <row r="599">
      <c r="F599" s="136"/>
    </row>
    <row r="600">
      <c r="F600" s="136"/>
    </row>
    <row r="601">
      <c r="F601" s="136"/>
    </row>
    <row r="602">
      <c r="F602" s="136"/>
    </row>
    <row r="603">
      <c r="F603" s="136"/>
    </row>
    <row r="604">
      <c r="F604" s="136"/>
    </row>
    <row r="605">
      <c r="F605" s="136"/>
    </row>
    <row r="606">
      <c r="F606" s="136"/>
    </row>
    <row r="607">
      <c r="F607" s="136"/>
    </row>
    <row r="608">
      <c r="F608" s="136"/>
    </row>
    <row r="609">
      <c r="F609" s="136"/>
    </row>
    <row r="610">
      <c r="F610" s="136"/>
    </row>
    <row r="611">
      <c r="F611" s="136"/>
    </row>
    <row r="612">
      <c r="F612" s="136"/>
    </row>
    <row r="613">
      <c r="F613" s="136"/>
    </row>
    <row r="614">
      <c r="F614" s="136"/>
    </row>
    <row r="615">
      <c r="F615" s="136"/>
    </row>
    <row r="616">
      <c r="F616" s="136"/>
    </row>
    <row r="617">
      <c r="F617" s="136"/>
    </row>
    <row r="618">
      <c r="F618" s="136"/>
    </row>
    <row r="619">
      <c r="F619" s="136"/>
    </row>
    <row r="620">
      <c r="F620" s="136"/>
    </row>
    <row r="621">
      <c r="F621" s="136"/>
    </row>
    <row r="622">
      <c r="F622" s="136"/>
    </row>
    <row r="623">
      <c r="F623" s="136"/>
    </row>
    <row r="624">
      <c r="F624" s="136"/>
    </row>
    <row r="625">
      <c r="F625" s="136"/>
    </row>
    <row r="626">
      <c r="F626" s="136"/>
    </row>
    <row r="627">
      <c r="F627" s="136"/>
    </row>
    <row r="628">
      <c r="F628" s="136"/>
    </row>
    <row r="629">
      <c r="F629" s="136"/>
    </row>
    <row r="630">
      <c r="F630" s="136"/>
    </row>
    <row r="631">
      <c r="F631" s="136"/>
    </row>
    <row r="632">
      <c r="F632" s="136"/>
    </row>
    <row r="633">
      <c r="F633" s="136"/>
    </row>
    <row r="634">
      <c r="F634" s="136"/>
    </row>
    <row r="635">
      <c r="F635" s="136"/>
    </row>
    <row r="636">
      <c r="F636" s="136"/>
    </row>
    <row r="637">
      <c r="F637" s="136"/>
    </row>
    <row r="638">
      <c r="F638" s="136"/>
    </row>
    <row r="639">
      <c r="F639" s="136"/>
    </row>
    <row r="640">
      <c r="F640" s="136"/>
    </row>
    <row r="641">
      <c r="F641" s="136"/>
    </row>
    <row r="642">
      <c r="F642" s="136"/>
    </row>
    <row r="643">
      <c r="F643" s="136"/>
    </row>
    <row r="644">
      <c r="F644" s="136"/>
    </row>
    <row r="645">
      <c r="F645" s="136"/>
    </row>
    <row r="646">
      <c r="F646" s="136"/>
    </row>
    <row r="647">
      <c r="F647" s="136"/>
    </row>
    <row r="648">
      <c r="F648" s="136"/>
    </row>
    <row r="649">
      <c r="F649" s="136"/>
    </row>
    <row r="650">
      <c r="F650" s="136"/>
    </row>
    <row r="651">
      <c r="F651" s="136"/>
    </row>
    <row r="652">
      <c r="F652" s="136"/>
    </row>
    <row r="653">
      <c r="F653" s="136"/>
    </row>
    <row r="654">
      <c r="F654" s="136"/>
    </row>
    <row r="655">
      <c r="F655" s="136"/>
    </row>
    <row r="656">
      <c r="F656" s="136"/>
    </row>
    <row r="657">
      <c r="F657" s="136"/>
    </row>
    <row r="658">
      <c r="F658" s="136"/>
    </row>
    <row r="659">
      <c r="F659" s="136"/>
    </row>
    <row r="660">
      <c r="F660" s="136"/>
    </row>
    <row r="661">
      <c r="F661" s="136"/>
    </row>
    <row r="662">
      <c r="F662" s="136"/>
    </row>
    <row r="663">
      <c r="F663" s="136"/>
    </row>
    <row r="664">
      <c r="F664" s="136"/>
    </row>
    <row r="665">
      <c r="F665" s="136"/>
    </row>
    <row r="666">
      <c r="F666" s="136"/>
    </row>
    <row r="667">
      <c r="F667" s="136"/>
    </row>
    <row r="668">
      <c r="F668" s="136"/>
    </row>
    <row r="669">
      <c r="F669" s="136"/>
    </row>
    <row r="670">
      <c r="F670" s="136"/>
    </row>
    <row r="671">
      <c r="F671" s="136"/>
    </row>
    <row r="672">
      <c r="F672" s="136"/>
    </row>
    <row r="673">
      <c r="F673" s="136"/>
    </row>
    <row r="674">
      <c r="F674" s="136"/>
    </row>
    <row r="675">
      <c r="F675" s="136"/>
    </row>
    <row r="676">
      <c r="F676" s="136"/>
    </row>
    <row r="677">
      <c r="F677" s="136"/>
    </row>
    <row r="678">
      <c r="F678" s="136"/>
    </row>
    <row r="679">
      <c r="F679" s="136"/>
    </row>
    <row r="680">
      <c r="F680" s="136"/>
    </row>
    <row r="681">
      <c r="F681" s="136"/>
    </row>
    <row r="682">
      <c r="F682" s="136"/>
    </row>
    <row r="683">
      <c r="F683" s="136"/>
    </row>
    <row r="684">
      <c r="F684" s="136"/>
    </row>
    <row r="685">
      <c r="F685" s="136"/>
    </row>
    <row r="686">
      <c r="F686" s="136"/>
    </row>
    <row r="687">
      <c r="F687" s="136"/>
    </row>
    <row r="688">
      <c r="F688" s="136"/>
    </row>
    <row r="689">
      <c r="F689" s="136"/>
    </row>
    <row r="690">
      <c r="F690" s="136"/>
    </row>
    <row r="691">
      <c r="F691" s="136"/>
    </row>
    <row r="692">
      <c r="F692" s="136"/>
    </row>
    <row r="693">
      <c r="F693" s="136"/>
    </row>
    <row r="694">
      <c r="F694" s="136"/>
    </row>
    <row r="695">
      <c r="F695" s="136"/>
    </row>
    <row r="696">
      <c r="F696" s="136"/>
    </row>
    <row r="697">
      <c r="F697" s="136"/>
    </row>
    <row r="698">
      <c r="F698" s="136"/>
    </row>
    <row r="699">
      <c r="F699" s="136"/>
    </row>
    <row r="700">
      <c r="F700" s="136"/>
    </row>
    <row r="701">
      <c r="F701" s="136"/>
    </row>
    <row r="702">
      <c r="F702" s="136"/>
    </row>
    <row r="703">
      <c r="F703" s="136"/>
    </row>
    <row r="704">
      <c r="F704" s="136"/>
    </row>
    <row r="705">
      <c r="F705" s="136"/>
    </row>
    <row r="706">
      <c r="F706" s="136"/>
    </row>
    <row r="707">
      <c r="F707" s="136"/>
    </row>
    <row r="708">
      <c r="F708" s="136"/>
    </row>
    <row r="709">
      <c r="F709" s="136"/>
    </row>
    <row r="710">
      <c r="F710" s="136"/>
    </row>
    <row r="711">
      <c r="F711" s="136"/>
    </row>
    <row r="712">
      <c r="F712" s="136"/>
    </row>
    <row r="713">
      <c r="F713" s="136"/>
    </row>
    <row r="714">
      <c r="F714" s="136"/>
    </row>
    <row r="715">
      <c r="F715" s="136"/>
    </row>
    <row r="716">
      <c r="F716" s="136"/>
    </row>
    <row r="717">
      <c r="F717" s="136"/>
    </row>
    <row r="718">
      <c r="F718" s="136"/>
    </row>
    <row r="719">
      <c r="F719" s="136"/>
    </row>
    <row r="720">
      <c r="F720" s="136"/>
    </row>
    <row r="721">
      <c r="F721" s="136"/>
    </row>
    <row r="722">
      <c r="F722" s="136"/>
    </row>
    <row r="723">
      <c r="F723" s="136"/>
    </row>
    <row r="724">
      <c r="F724" s="136"/>
    </row>
    <row r="725">
      <c r="F725" s="136"/>
    </row>
    <row r="726">
      <c r="F726" s="136"/>
    </row>
    <row r="727">
      <c r="F727" s="136"/>
    </row>
    <row r="728">
      <c r="F728" s="136"/>
    </row>
    <row r="729">
      <c r="F729" s="136"/>
    </row>
    <row r="730">
      <c r="F730" s="136"/>
    </row>
    <row r="731">
      <c r="F731" s="136"/>
    </row>
    <row r="732">
      <c r="F732" s="136"/>
    </row>
    <row r="733">
      <c r="F733" s="136"/>
    </row>
    <row r="734">
      <c r="F734" s="136"/>
    </row>
    <row r="735">
      <c r="F735" s="136"/>
    </row>
    <row r="736">
      <c r="F736" s="136"/>
    </row>
    <row r="737">
      <c r="F737" s="136"/>
    </row>
    <row r="738">
      <c r="F738" s="136"/>
    </row>
    <row r="739">
      <c r="F739" s="136"/>
    </row>
    <row r="740">
      <c r="F740" s="136"/>
    </row>
    <row r="741">
      <c r="F741" s="136"/>
    </row>
    <row r="742">
      <c r="F742" s="136"/>
    </row>
    <row r="743">
      <c r="F743" s="136"/>
    </row>
    <row r="744">
      <c r="F744" s="136"/>
    </row>
    <row r="745">
      <c r="F745" s="136"/>
    </row>
    <row r="746">
      <c r="F746" s="136"/>
    </row>
    <row r="747">
      <c r="F747" s="136"/>
    </row>
    <row r="748">
      <c r="F748" s="136"/>
    </row>
    <row r="749">
      <c r="F749" s="136"/>
    </row>
    <row r="750">
      <c r="F750" s="136"/>
    </row>
    <row r="751">
      <c r="F751" s="136"/>
    </row>
    <row r="752">
      <c r="F752" s="136"/>
    </row>
    <row r="753">
      <c r="F753" s="136"/>
    </row>
    <row r="754">
      <c r="F754" s="136"/>
    </row>
    <row r="755">
      <c r="F755" s="136"/>
    </row>
    <row r="756">
      <c r="F756" s="136"/>
    </row>
    <row r="757">
      <c r="F757" s="136"/>
    </row>
    <row r="758">
      <c r="F758" s="136"/>
    </row>
    <row r="759">
      <c r="F759" s="136"/>
    </row>
    <row r="760">
      <c r="F760" s="136"/>
    </row>
    <row r="761">
      <c r="F761" s="136"/>
    </row>
    <row r="762">
      <c r="F762" s="136"/>
    </row>
    <row r="763">
      <c r="F763" s="136"/>
    </row>
    <row r="764">
      <c r="F764" s="136"/>
    </row>
    <row r="765">
      <c r="F765" s="136"/>
    </row>
    <row r="766">
      <c r="F766" s="136"/>
    </row>
    <row r="767">
      <c r="F767" s="136"/>
    </row>
    <row r="768">
      <c r="F768" s="136"/>
    </row>
    <row r="769">
      <c r="F769" s="136"/>
    </row>
    <row r="770">
      <c r="F770" s="136"/>
    </row>
    <row r="771">
      <c r="F771" s="136"/>
    </row>
    <row r="772">
      <c r="F772" s="136"/>
    </row>
    <row r="773">
      <c r="F773" s="136"/>
    </row>
    <row r="774">
      <c r="F774" s="136"/>
    </row>
    <row r="775">
      <c r="F775" s="136"/>
    </row>
    <row r="776">
      <c r="F776" s="136"/>
    </row>
    <row r="777">
      <c r="F777" s="136"/>
    </row>
    <row r="778">
      <c r="F778" s="136"/>
    </row>
    <row r="779">
      <c r="F779" s="136"/>
    </row>
    <row r="780">
      <c r="F780" s="136"/>
    </row>
    <row r="781">
      <c r="F781" s="136"/>
    </row>
    <row r="782">
      <c r="F782" s="136"/>
    </row>
    <row r="783">
      <c r="F783" s="136"/>
    </row>
    <row r="784">
      <c r="F784" s="136"/>
    </row>
    <row r="785">
      <c r="F785" s="136"/>
    </row>
    <row r="786">
      <c r="F786" s="136"/>
    </row>
    <row r="787">
      <c r="F787" s="136"/>
    </row>
    <row r="788">
      <c r="F788" s="136"/>
    </row>
    <row r="789">
      <c r="F789" s="136"/>
    </row>
    <row r="790">
      <c r="F790" s="136"/>
    </row>
    <row r="791">
      <c r="F791" s="136"/>
    </row>
    <row r="792">
      <c r="F792" s="136"/>
    </row>
    <row r="793">
      <c r="F793" s="136"/>
    </row>
    <row r="794">
      <c r="F794" s="136"/>
    </row>
    <row r="795">
      <c r="F795" s="136"/>
    </row>
    <row r="796">
      <c r="F796" s="136"/>
    </row>
    <row r="797">
      <c r="F797" s="136"/>
    </row>
    <row r="798">
      <c r="F798" s="136"/>
    </row>
    <row r="799">
      <c r="F799" s="136"/>
    </row>
    <row r="800">
      <c r="F800" s="136"/>
    </row>
    <row r="801">
      <c r="F801" s="136"/>
    </row>
    <row r="802">
      <c r="F802" s="136"/>
    </row>
    <row r="803">
      <c r="F803" s="136"/>
    </row>
    <row r="804">
      <c r="F804" s="136"/>
    </row>
    <row r="805">
      <c r="F805" s="136"/>
    </row>
    <row r="806">
      <c r="F806" s="136"/>
    </row>
    <row r="807">
      <c r="F807" s="136"/>
    </row>
    <row r="808">
      <c r="F808" s="136"/>
    </row>
    <row r="809">
      <c r="F809" s="136"/>
    </row>
    <row r="810">
      <c r="F810" s="136"/>
    </row>
    <row r="811">
      <c r="F811" s="136"/>
    </row>
    <row r="812">
      <c r="F812" s="136"/>
    </row>
    <row r="813">
      <c r="F813" s="136"/>
    </row>
    <row r="814">
      <c r="F814" s="136"/>
    </row>
    <row r="815">
      <c r="F815" s="136"/>
    </row>
    <row r="816">
      <c r="F816" s="136"/>
    </row>
    <row r="817">
      <c r="F817" s="136"/>
    </row>
    <row r="818">
      <c r="F818" s="136"/>
    </row>
    <row r="819">
      <c r="F819" s="136"/>
    </row>
    <row r="820">
      <c r="F820" s="136"/>
    </row>
    <row r="821">
      <c r="F821" s="136"/>
    </row>
    <row r="822">
      <c r="F822" s="136"/>
    </row>
    <row r="823">
      <c r="F823" s="136"/>
    </row>
    <row r="824">
      <c r="F824" s="136"/>
    </row>
    <row r="825">
      <c r="F825" s="136"/>
    </row>
    <row r="826">
      <c r="F826" s="136"/>
    </row>
    <row r="827">
      <c r="F827" s="136"/>
    </row>
    <row r="828">
      <c r="F828" s="136"/>
    </row>
    <row r="829">
      <c r="F829" s="136"/>
    </row>
    <row r="830">
      <c r="F830" s="136"/>
    </row>
    <row r="831">
      <c r="F831" s="136"/>
    </row>
    <row r="832">
      <c r="F832" s="136"/>
    </row>
    <row r="833">
      <c r="F833" s="136"/>
    </row>
    <row r="834">
      <c r="F834" s="136"/>
    </row>
    <row r="835">
      <c r="F835" s="136"/>
    </row>
    <row r="836">
      <c r="F836" s="136"/>
    </row>
    <row r="837">
      <c r="F837" s="136"/>
    </row>
    <row r="838">
      <c r="F838" s="136"/>
    </row>
    <row r="839">
      <c r="F839" s="136"/>
    </row>
    <row r="840">
      <c r="F840" s="136"/>
    </row>
    <row r="841">
      <c r="F841" s="136"/>
    </row>
    <row r="842">
      <c r="F842" s="136"/>
    </row>
    <row r="843">
      <c r="F843" s="136"/>
    </row>
    <row r="844">
      <c r="F844" s="136"/>
    </row>
    <row r="845">
      <c r="F845" s="136"/>
    </row>
    <row r="846">
      <c r="F846" s="136"/>
    </row>
    <row r="847">
      <c r="F847" s="136"/>
    </row>
    <row r="848">
      <c r="F848" s="136"/>
    </row>
    <row r="849">
      <c r="F849" s="136"/>
    </row>
    <row r="850">
      <c r="F850" s="136"/>
    </row>
    <row r="851">
      <c r="F851" s="136"/>
    </row>
    <row r="852">
      <c r="F852" s="136"/>
    </row>
    <row r="853">
      <c r="F853" s="136"/>
    </row>
    <row r="854">
      <c r="F854" s="136"/>
    </row>
    <row r="855">
      <c r="F855" s="136"/>
    </row>
    <row r="856">
      <c r="F856" s="136"/>
    </row>
    <row r="857">
      <c r="F857" s="136"/>
    </row>
    <row r="858">
      <c r="F858" s="136"/>
    </row>
    <row r="859">
      <c r="F859" s="136"/>
    </row>
    <row r="860">
      <c r="F860" s="136"/>
    </row>
    <row r="861">
      <c r="F861" s="136"/>
    </row>
    <row r="862">
      <c r="F862" s="136"/>
    </row>
    <row r="863">
      <c r="F863" s="136"/>
    </row>
    <row r="864">
      <c r="F864" s="136"/>
    </row>
    <row r="865">
      <c r="F865" s="136"/>
    </row>
    <row r="866">
      <c r="F866" s="136"/>
    </row>
    <row r="867">
      <c r="F867" s="136"/>
    </row>
    <row r="868">
      <c r="F868" s="136"/>
    </row>
    <row r="869">
      <c r="F869" s="136"/>
    </row>
    <row r="870">
      <c r="F870" s="136"/>
    </row>
    <row r="871">
      <c r="F871" s="136"/>
    </row>
    <row r="872">
      <c r="F872" s="136"/>
    </row>
    <row r="873">
      <c r="F873" s="136"/>
    </row>
    <row r="874">
      <c r="F874" s="136"/>
    </row>
    <row r="875">
      <c r="F875" s="136"/>
    </row>
    <row r="876">
      <c r="F876" s="136"/>
    </row>
    <row r="877">
      <c r="F877" s="136"/>
    </row>
    <row r="878">
      <c r="F878" s="136"/>
    </row>
    <row r="879">
      <c r="F879" s="136"/>
    </row>
    <row r="880">
      <c r="F880" s="136"/>
    </row>
    <row r="881">
      <c r="F881" s="136"/>
    </row>
    <row r="882">
      <c r="F882" s="136"/>
    </row>
    <row r="883">
      <c r="F883" s="136"/>
    </row>
    <row r="884">
      <c r="F884" s="136"/>
    </row>
    <row r="885">
      <c r="F885" s="136"/>
    </row>
    <row r="886">
      <c r="F886" s="136"/>
    </row>
    <row r="887">
      <c r="F887" s="136"/>
    </row>
    <row r="888">
      <c r="F888" s="136"/>
    </row>
    <row r="889">
      <c r="F889" s="136"/>
    </row>
    <row r="890">
      <c r="F890" s="136"/>
    </row>
    <row r="891">
      <c r="F891" s="136"/>
    </row>
    <row r="892">
      <c r="F892" s="136"/>
    </row>
    <row r="893">
      <c r="F893" s="136"/>
    </row>
    <row r="894">
      <c r="F894" s="136"/>
    </row>
    <row r="895">
      <c r="F895" s="136"/>
    </row>
    <row r="896">
      <c r="F896" s="136"/>
    </row>
    <row r="897">
      <c r="F897" s="136"/>
    </row>
    <row r="898">
      <c r="F898" s="136"/>
    </row>
    <row r="899">
      <c r="F899" s="136"/>
    </row>
    <row r="900">
      <c r="F900" s="136"/>
    </row>
    <row r="901">
      <c r="F901" s="136"/>
    </row>
    <row r="902">
      <c r="F902" s="136"/>
    </row>
    <row r="903">
      <c r="F903" s="136"/>
    </row>
    <row r="904">
      <c r="F904" s="136"/>
    </row>
    <row r="905">
      <c r="F905" s="136"/>
    </row>
    <row r="906">
      <c r="F906" s="136"/>
    </row>
    <row r="907">
      <c r="F907" s="136"/>
    </row>
    <row r="908">
      <c r="F908" s="136"/>
    </row>
    <row r="909">
      <c r="F909" s="136"/>
    </row>
    <row r="910">
      <c r="F910" s="136"/>
    </row>
    <row r="911">
      <c r="F911" s="136"/>
    </row>
    <row r="912">
      <c r="F912" s="136"/>
    </row>
    <row r="913">
      <c r="F913" s="136"/>
    </row>
    <row r="914">
      <c r="F914" s="136"/>
    </row>
    <row r="915">
      <c r="F915" s="136"/>
    </row>
    <row r="916">
      <c r="F916" s="136"/>
    </row>
    <row r="917">
      <c r="F917" s="136"/>
    </row>
    <row r="918">
      <c r="F918" s="136"/>
    </row>
    <row r="919">
      <c r="F919" s="136"/>
    </row>
    <row r="920">
      <c r="F920" s="136"/>
    </row>
    <row r="921">
      <c r="F921" s="136"/>
    </row>
    <row r="922">
      <c r="F922" s="136"/>
    </row>
    <row r="923">
      <c r="F923" s="136"/>
    </row>
    <row r="924">
      <c r="F924" s="136"/>
    </row>
    <row r="925">
      <c r="F925" s="136"/>
    </row>
    <row r="926">
      <c r="F926" s="136"/>
    </row>
    <row r="927">
      <c r="F927" s="136"/>
    </row>
    <row r="928">
      <c r="F928" s="136"/>
    </row>
    <row r="929">
      <c r="F929" s="136"/>
    </row>
    <row r="930">
      <c r="F930" s="136"/>
    </row>
    <row r="931">
      <c r="F931" s="136"/>
    </row>
    <row r="932">
      <c r="F932" s="136"/>
    </row>
    <row r="933">
      <c r="F933" s="136"/>
    </row>
    <row r="934">
      <c r="F934" s="136"/>
    </row>
    <row r="935">
      <c r="F935" s="136"/>
    </row>
    <row r="936">
      <c r="F936" s="136"/>
    </row>
    <row r="937">
      <c r="F937" s="136"/>
    </row>
    <row r="938">
      <c r="F938" s="136"/>
    </row>
    <row r="939">
      <c r="F939" s="136"/>
    </row>
    <row r="940">
      <c r="F940" s="136"/>
    </row>
    <row r="941">
      <c r="F941" s="136"/>
    </row>
    <row r="942">
      <c r="F942" s="136"/>
    </row>
    <row r="943">
      <c r="F943" s="136"/>
    </row>
    <row r="944">
      <c r="F944" s="136"/>
    </row>
    <row r="945">
      <c r="F945" s="136"/>
    </row>
    <row r="946">
      <c r="F946" s="136"/>
    </row>
    <row r="947">
      <c r="F947" s="136"/>
    </row>
    <row r="948">
      <c r="F948" s="136"/>
    </row>
    <row r="949">
      <c r="F949" s="136"/>
    </row>
    <row r="950">
      <c r="F950" s="136"/>
    </row>
    <row r="951">
      <c r="F951" s="136"/>
    </row>
    <row r="952">
      <c r="F952" s="136"/>
    </row>
    <row r="953">
      <c r="F953" s="136"/>
    </row>
    <row r="954">
      <c r="F954" s="136"/>
    </row>
    <row r="955">
      <c r="F955" s="136"/>
    </row>
    <row r="956">
      <c r="F956" s="136"/>
    </row>
    <row r="957">
      <c r="F957" s="136"/>
    </row>
    <row r="958">
      <c r="F958" s="136"/>
    </row>
    <row r="959">
      <c r="F959" s="136"/>
    </row>
    <row r="960">
      <c r="F960" s="136"/>
    </row>
    <row r="961">
      <c r="F961" s="136"/>
    </row>
    <row r="962">
      <c r="F962" s="136"/>
    </row>
    <row r="963">
      <c r="F963" s="136"/>
    </row>
    <row r="964">
      <c r="F964" s="136"/>
    </row>
    <row r="965">
      <c r="F965" s="136"/>
    </row>
    <row r="966">
      <c r="F966" s="136"/>
    </row>
    <row r="967">
      <c r="F967" s="136"/>
    </row>
    <row r="968">
      <c r="F968" s="136"/>
    </row>
    <row r="969">
      <c r="F969" s="136"/>
    </row>
    <row r="970">
      <c r="F970" s="136"/>
    </row>
    <row r="971">
      <c r="F971" s="136"/>
    </row>
    <row r="972">
      <c r="F972" s="136"/>
    </row>
    <row r="973">
      <c r="F973" s="136"/>
    </row>
    <row r="974">
      <c r="F974" s="136"/>
    </row>
    <row r="975">
      <c r="F975" s="136"/>
    </row>
    <row r="976">
      <c r="F976" s="136"/>
    </row>
    <row r="977">
      <c r="F977" s="136"/>
    </row>
    <row r="978">
      <c r="F978" s="136"/>
    </row>
    <row r="979">
      <c r="F979" s="136"/>
    </row>
    <row r="980">
      <c r="F980" s="136"/>
    </row>
    <row r="981">
      <c r="F981" s="136"/>
    </row>
    <row r="982">
      <c r="F982" s="136"/>
    </row>
    <row r="983">
      <c r="F983" s="136"/>
    </row>
    <row r="984">
      <c r="F984" s="136"/>
    </row>
    <row r="985">
      <c r="F985" s="136"/>
    </row>
    <row r="986">
      <c r="F986" s="136"/>
    </row>
    <row r="987">
      <c r="F987" s="136"/>
    </row>
    <row r="988">
      <c r="F988" s="136"/>
    </row>
    <row r="989">
      <c r="F989" s="136"/>
    </row>
    <row r="990">
      <c r="F990" s="136"/>
    </row>
    <row r="991">
      <c r="F991" s="136"/>
    </row>
    <row r="992">
      <c r="F992" s="136"/>
    </row>
    <row r="993">
      <c r="F993" s="136"/>
    </row>
    <row r="994">
      <c r="F994" s="136"/>
    </row>
    <row r="995">
      <c r="F995" s="136"/>
    </row>
    <row r="996">
      <c r="F996" s="136"/>
    </row>
    <row r="997">
      <c r="F997" s="136"/>
    </row>
    <row r="998">
      <c r="F998" s="136"/>
    </row>
    <row r="999">
      <c r="F999" s="136"/>
    </row>
    <row r="1000">
      <c r="F1000" s="136"/>
    </row>
    <row r="1001">
      <c r="F1001" s="136"/>
    </row>
    <row r="1002">
      <c r="F1002" s="136"/>
    </row>
    <row r="1003">
      <c r="F1003" s="136"/>
    </row>
    <row r="1004">
      <c r="F1004" s="136"/>
    </row>
    <row r="1005">
      <c r="F1005" s="136"/>
    </row>
  </sheetData>
  <mergeCells count="3">
    <mergeCell ref="B1:H1"/>
    <mergeCell ref="B2:H2"/>
    <mergeCell ref="B16:H1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16.0"/>
    <col customWidth="1" min="7" max="7" width="30.13"/>
  </cols>
  <sheetData>
    <row r="1" ht="15.0" customHeight="1">
      <c r="B1" s="174" t="s">
        <v>662</v>
      </c>
      <c r="C1" s="88"/>
      <c r="D1" s="88"/>
      <c r="E1" s="88"/>
      <c r="F1" s="88"/>
      <c r="G1" s="89"/>
    </row>
    <row r="2" ht="15.0" customHeight="1">
      <c r="B2" s="90" t="s">
        <v>400</v>
      </c>
      <c r="C2" s="90" t="s">
        <v>401</v>
      </c>
      <c r="D2" s="90" t="s">
        <v>402</v>
      </c>
      <c r="E2" s="90" t="s">
        <v>403</v>
      </c>
      <c r="F2" s="90" t="s">
        <v>32</v>
      </c>
      <c r="G2" s="90" t="s">
        <v>44</v>
      </c>
    </row>
    <row r="3" ht="15.0" customHeight="1">
      <c r="B3" s="179">
        <v>1.01</v>
      </c>
      <c r="C3" s="92">
        <v>2.0</v>
      </c>
      <c r="D3" s="11" t="s">
        <v>202</v>
      </c>
      <c r="E3" s="12" t="s">
        <v>663</v>
      </c>
      <c r="F3" s="11" t="s">
        <v>100</v>
      </c>
      <c r="G3" s="11" t="s">
        <v>664</v>
      </c>
    </row>
    <row r="4" ht="15.0" customHeight="1">
      <c r="B4" s="179">
        <v>1.02</v>
      </c>
      <c r="C4" s="92">
        <v>2.0</v>
      </c>
      <c r="D4" s="12" t="s">
        <v>86</v>
      </c>
      <c r="E4" s="12" t="s">
        <v>665</v>
      </c>
      <c r="F4" s="12" t="s">
        <v>221</v>
      </c>
      <c r="G4" s="12" t="s">
        <v>135</v>
      </c>
    </row>
    <row r="5" ht="15.0" customHeight="1">
      <c r="B5" s="178">
        <v>1.03</v>
      </c>
      <c r="C5" s="92">
        <v>2.0</v>
      </c>
      <c r="D5" s="12" t="s">
        <v>276</v>
      </c>
      <c r="E5" s="12" t="s">
        <v>666</v>
      </c>
      <c r="F5" s="12" t="s">
        <v>245</v>
      </c>
      <c r="G5" s="12" t="s">
        <v>116</v>
      </c>
    </row>
    <row r="6" ht="15.0" customHeight="1">
      <c r="B6" s="180">
        <v>1.04</v>
      </c>
      <c r="C6" s="92">
        <v>2.0</v>
      </c>
      <c r="D6" s="12" t="s">
        <v>157</v>
      </c>
      <c r="E6" s="12" t="s">
        <v>642</v>
      </c>
      <c r="F6" s="12" t="s">
        <v>199</v>
      </c>
      <c r="G6" s="12" t="s">
        <v>667</v>
      </c>
    </row>
    <row r="7" ht="15.0" customHeight="1">
      <c r="B7" s="179">
        <v>1.05</v>
      </c>
      <c r="C7" s="92">
        <v>2.0</v>
      </c>
      <c r="D7" s="12" t="s">
        <v>310</v>
      </c>
      <c r="E7" s="12" t="s">
        <v>651</v>
      </c>
      <c r="F7" s="12" t="s">
        <v>221</v>
      </c>
      <c r="G7" s="12" t="s">
        <v>668</v>
      </c>
    </row>
    <row r="8" ht="15.0" customHeight="1">
      <c r="B8" s="178">
        <v>1.06</v>
      </c>
      <c r="C8" s="92">
        <v>2.0</v>
      </c>
      <c r="D8" s="12" t="s">
        <v>290</v>
      </c>
      <c r="E8" s="12" t="s">
        <v>636</v>
      </c>
      <c r="F8" s="12" t="s">
        <v>199</v>
      </c>
      <c r="G8" s="12" t="s">
        <v>669</v>
      </c>
    </row>
    <row r="9" ht="15.0" customHeight="1">
      <c r="B9" s="179">
        <v>1.07</v>
      </c>
      <c r="C9" s="92">
        <v>2.0</v>
      </c>
      <c r="D9" s="11" t="s">
        <v>107</v>
      </c>
      <c r="E9" s="12" t="s">
        <v>630</v>
      </c>
      <c r="F9" s="11" t="s">
        <v>100</v>
      </c>
      <c r="G9" s="12" t="s">
        <v>670</v>
      </c>
    </row>
    <row r="10" ht="15.0" customHeight="1">
      <c r="B10" s="178">
        <v>1.08</v>
      </c>
      <c r="C10" s="92">
        <v>2.0</v>
      </c>
      <c r="D10" s="11" t="s">
        <v>671</v>
      </c>
      <c r="E10" s="12" t="s">
        <v>672</v>
      </c>
      <c r="F10" s="11" t="s">
        <v>152</v>
      </c>
      <c r="G10" s="11"/>
    </row>
    <row r="11" ht="15.0" customHeight="1">
      <c r="B11" s="179">
        <v>1.09</v>
      </c>
      <c r="C11" s="92">
        <v>2.0</v>
      </c>
      <c r="D11" s="11" t="s">
        <v>673</v>
      </c>
      <c r="E11" s="12" t="s">
        <v>632</v>
      </c>
      <c r="F11" s="11" t="s">
        <v>174</v>
      </c>
      <c r="G11" s="11" t="s">
        <v>200</v>
      </c>
    </row>
    <row r="12" ht="15.0" customHeight="1">
      <c r="B12" s="178">
        <v>1.1</v>
      </c>
      <c r="C12" s="92">
        <v>2.0</v>
      </c>
      <c r="D12" s="11" t="s">
        <v>323</v>
      </c>
      <c r="E12" s="12" t="s">
        <v>663</v>
      </c>
      <c r="F12" s="11" t="s">
        <v>174</v>
      </c>
      <c r="G12" s="11" t="s">
        <v>674</v>
      </c>
    </row>
    <row r="13" ht="15.0" customHeight="1">
      <c r="B13" s="179">
        <v>1.11</v>
      </c>
      <c r="C13" s="92">
        <v>2.0</v>
      </c>
      <c r="D13" s="11" t="s">
        <v>675</v>
      </c>
      <c r="E13" s="12" t="s">
        <v>676</v>
      </c>
      <c r="F13" s="11" t="s">
        <v>199</v>
      </c>
      <c r="G13" s="11" t="s">
        <v>405</v>
      </c>
    </row>
    <row r="14" ht="15.0" customHeight="1">
      <c r="B14" s="179">
        <v>1.12</v>
      </c>
      <c r="C14" s="92">
        <v>2.0</v>
      </c>
      <c r="D14" s="11" t="s">
        <v>179</v>
      </c>
      <c r="E14" s="12" t="s">
        <v>641</v>
      </c>
      <c r="F14" s="11" t="s">
        <v>174</v>
      </c>
      <c r="G14" s="12" t="s">
        <v>677</v>
      </c>
    </row>
    <row r="15" ht="15.0" customHeight="1">
      <c r="B15" s="174" t="s">
        <v>678</v>
      </c>
      <c r="C15" s="88"/>
      <c r="D15" s="88"/>
      <c r="E15" s="88"/>
      <c r="F15" s="88"/>
      <c r="G15" s="89"/>
    </row>
    <row r="16" ht="15.0" customHeight="1">
      <c r="B16" s="90" t="s">
        <v>400</v>
      </c>
      <c r="C16" s="90" t="s">
        <v>401</v>
      </c>
      <c r="D16" s="90"/>
      <c r="E16" s="90"/>
      <c r="F16" s="90" t="s">
        <v>32</v>
      </c>
      <c r="G16" s="90" t="s">
        <v>44</v>
      </c>
    </row>
    <row r="17" ht="15.0" customHeight="1">
      <c r="B17" s="179">
        <v>2.01</v>
      </c>
      <c r="C17" s="92">
        <v>1.0</v>
      </c>
      <c r="D17" s="11" t="s">
        <v>277</v>
      </c>
      <c r="E17" s="12" t="s">
        <v>679</v>
      </c>
      <c r="F17" s="11" t="s">
        <v>100</v>
      </c>
      <c r="G17" s="11" t="s">
        <v>680</v>
      </c>
    </row>
    <row r="18" ht="15.0" customHeight="1">
      <c r="B18" s="179">
        <v>2.02</v>
      </c>
      <c r="C18" s="92">
        <v>1.0</v>
      </c>
      <c r="D18" s="12" t="s">
        <v>312</v>
      </c>
      <c r="E18" s="12" t="s">
        <v>681</v>
      </c>
      <c r="F18" s="12" t="s">
        <v>269</v>
      </c>
      <c r="G18" s="12" t="s">
        <v>682</v>
      </c>
    </row>
    <row r="19" ht="15.0" customHeight="1">
      <c r="B19" s="178">
        <v>2.03</v>
      </c>
      <c r="C19" s="92">
        <v>1.0</v>
      </c>
      <c r="D19" s="12" t="s">
        <v>683</v>
      </c>
      <c r="E19" s="12" t="s">
        <v>684</v>
      </c>
      <c r="F19" s="11" t="s">
        <v>125</v>
      </c>
      <c r="G19" s="12" t="s">
        <v>93</v>
      </c>
    </row>
    <row r="20" ht="15.0" customHeight="1">
      <c r="B20" s="179">
        <v>2.04</v>
      </c>
      <c r="C20" s="92">
        <v>1.0</v>
      </c>
      <c r="D20" s="12" t="s">
        <v>230</v>
      </c>
      <c r="E20" s="12" t="s">
        <v>629</v>
      </c>
      <c r="F20" s="11" t="s">
        <v>221</v>
      </c>
      <c r="G20" s="11"/>
    </row>
    <row r="21" ht="15.0" customHeight="1">
      <c r="B21" s="179">
        <v>2.05</v>
      </c>
      <c r="C21" s="92">
        <v>1.0</v>
      </c>
      <c r="D21" s="12" t="s">
        <v>76</v>
      </c>
      <c r="E21" s="12" t="s">
        <v>685</v>
      </c>
      <c r="F21" s="11" t="s">
        <v>341</v>
      </c>
      <c r="G21" s="11" t="s">
        <v>686</v>
      </c>
    </row>
    <row r="22" ht="15.0" customHeight="1">
      <c r="B22" s="178">
        <v>2.06</v>
      </c>
      <c r="C22" s="92">
        <v>1.0</v>
      </c>
      <c r="D22" s="12" t="s">
        <v>172</v>
      </c>
      <c r="E22" s="12" t="s">
        <v>641</v>
      </c>
      <c r="F22" s="11" t="s">
        <v>341</v>
      </c>
      <c r="G22" s="11" t="s">
        <v>687</v>
      </c>
    </row>
    <row r="23" ht="15.0" customHeight="1">
      <c r="B23" s="179">
        <v>2.07</v>
      </c>
      <c r="C23" s="92">
        <v>1.0</v>
      </c>
      <c r="D23" s="11" t="s">
        <v>50</v>
      </c>
      <c r="E23" s="12" t="s">
        <v>688</v>
      </c>
      <c r="F23" s="12" t="s">
        <v>45</v>
      </c>
      <c r="G23" s="11"/>
    </row>
    <row r="24" ht="15.0" customHeight="1">
      <c r="B24" s="178">
        <v>2.08</v>
      </c>
      <c r="C24" s="92">
        <v>1.0</v>
      </c>
      <c r="D24" s="11" t="s">
        <v>151</v>
      </c>
      <c r="E24" s="12" t="s">
        <v>689</v>
      </c>
      <c r="F24" s="11" t="s">
        <v>152</v>
      </c>
      <c r="G24" s="11"/>
    </row>
    <row r="25" ht="15.0" customHeight="1">
      <c r="B25" s="179">
        <v>2.09</v>
      </c>
      <c r="C25" s="92">
        <v>1.0</v>
      </c>
      <c r="D25" s="11" t="s">
        <v>334</v>
      </c>
      <c r="E25" s="12" t="s">
        <v>649</v>
      </c>
      <c r="F25" s="11" t="s">
        <v>100</v>
      </c>
      <c r="G25" s="11" t="s">
        <v>690</v>
      </c>
    </row>
    <row r="26" ht="15.0" customHeight="1">
      <c r="B26" s="178">
        <v>2.1</v>
      </c>
      <c r="C26" s="92">
        <v>1.0</v>
      </c>
      <c r="D26" s="11" t="s">
        <v>691</v>
      </c>
      <c r="E26" s="12" t="s">
        <v>646</v>
      </c>
      <c r="F26" s="12" t="s">
        <v>199</v>
      </c>
      <c r="G26" s="12" t="s">
        <v>692</v>
      </c>
    </row>
    <row r="27" ht="15.0" customHeight="1">
      <c r="B27" s="179">
        <v>2.11</v>
      </c>
      <c r="C27" s="92">
        <v>1.0</v>
      </c>
      <c r="D27" s="11" t="s">
        <v>693</v>
      </c>
      <c r="E27" s="12" t="s">
        <v>634</v>
      </c>
      <c r="F27" s="12" t="s">
        <v>125</v>
      </c>
      <c r="G27" s="12" t="s">
        <v>694</v>
      </c>
    </row>
    <row r="28" ht="15.0" customHeight="1">
      <c r="B28" s="179">
        <v>2.12</v>
      </c>
      <c r="C28" s="92">
        <v>1.0</v>
      </c>
      <c r="D28" s="11" t="s">
        <v>301</v>
      </c>
      <c r="E28" s="12" t="s">
        <v>636</v>
      </c>
      <c r="F28" s="11" t="s">
        <v>125</v>
      </c>
      <c r="G28" s="12" t="s">
        <v>677</v>
      </c>
    </row>
    <row r="98">
      <c r="D98" s="106"/>
    </row>
    <row r="99">
      <c r="D99" s="106"/>
    </row>
    <row r="100">
      <c r="D100" s="106"/>
    </row>
    <row r="101">
      <c r="D101" s="106"/>
    </row>
    <row r="102">
      <c r="D102" s="106"/>
    </row>
    <row r="103">
      <c r="D103" s="106"/>
    </row>
    <row r="104">
      <c r="D104" s="106"/>
    </row>
    <row r="105">
      <c r="D105" s="106"/>
    </row>
    <row r="106">
      <c r="D106" s="106"/>
    </row>
    <row r="107">
      <c r="D107" s="106"/>
    </row>
    <row r="108">
      <c r="D108" s="106"/>
    </row>
    <row r="109">
      <c r="D109" s="106"/>
    </row>
    <row r="110">
      <c r="D110" s="106"/>
    </row>
    <row r="111">
      <c r="D111" s="106"/>
    </row>
    <row r="112">
      <c r="D112" s="106"/>
    </row>
    <row r="113">
      <c r="D113" s="106"/>
    </row>
    <row r="114">
      <c r="D114" s="106"/>
    </row>
    <row r="115">
      <c r="D115" s="106"/>
    </row>
    <row r="116">
      <c r="D116" s="106"/>
    </row>
    <row r="117">
      <c r="D117" s="106"/>
    </row>
    <row r="118">
      <c r="D118" s="106"/>
    </row>
    <row r="119">
      <c r="D119" s="106"/>
    </row>
    <row r="120">
      <c r="D120" s="106"/>
    </row>
    <row r="121">
      <c r="D121" s="106"/>
    </row>
    <row r="122">
      <c r="D122" s="106"/>
    </row>
    <row r="123">
      <c r="D123" s="106"/>
    </row>
    <row r="124">
      <c r="D124" s="106"/>
    </row>
    <row r="125">
      <c r="D125" s="106"/>
    </row>
    <row r="126">
      <c r="D126" s="106"/>
    </row>
    <row r="127">
      <c r="D127" s="106"/>
    </row>
    <row r="128">
      <c r="D128" s="106"/>
    </row>
    <row r="129">
      <c r="D129" s="106"/>
    </row>
    <row r="130">
      <c r="D130" s="106"/>
    </row>
    <row r="131">
      <c r="D131" s="106"/>
    </row>
    <row r="132">
      <c r="D132" s="106"/>
    </row>
    <row r="133">
      <c r="D133" s="106"/>
    </row>
    <row r="134">
      <c r="D134" s="106"/>
    </row>
    <row r="135">
      <c r="D135" s="106"/>
    </row>
    <row r="136">
      <c r="D136" s="106"/>
    </row>
    <row r="137">
      <c r="D137" s="106"/>
    </row>
    <row r="138">
      <c r="D138" s="106"/>
    </row>
    <row r="139">
      <c r="D139" s="106"/>
    </row>
    <row r="140">
      <c r="D140" s="106"/>
    </row>
    <row r="141">
      <c r="D141" s="106"/>
    </row>
    <row r="142">
      <c r="D142" s="106"/>
    </row>
    <row r="143">
      <c r="D143" s="106"/>
    </row>
    <row r="144">
      <c r="D144" s="106"/>
    </row>
    <row r="145">
      <c r="D145" s="106"/>
    </row>
    <row r="146">
      <c r="D146" s="106"/>
    </row>
    <row r="147">
      <c r="D147" s="106"/>
    </row>
    <row r="148">
      <c r="D148" s="106"/>
    </row>
    <row r="149">
      <c r="D149" s="106"/>
    </row>
    <row r="150">
      <c r="D150" s="106"/>
    </row>
    <row r="151">
      <c r="D151" s="106"/>
    </row>
    <row r="152">
      <c r="D152" s="106"/>
    </row>
    <row r="153">
      <c r="D153" s="106"/>
    </row>
    <row r="154">
      <c r="D154" s="106"/>
    </row>
    <row r="155">
      <c r="D155" s="106"/>
    </row>
    <row r="156">
      <c r="D156" s="106"/>
    </row>
    <row r="157">
      <c r="D157" s="106"/>
    </row>
    <row r="158">
      <c r="D158" s="106"/>
    </row>
    <row r="159">
      <c r="D159" s="106"/>
    </row>
    <row r="160">
      <c r="D160" s="106"/>
    </row>
    <row r="161">
      <c r="D161" s="106"/>
    </row>
    <row r="162">
      <c r="D162" s="106"/>
    </row>
    <row r="163">
      <c r="D163" s="106"/>
    </row>
    <row r="164">
      <c r="D164" s="106"/>
    </row>
    <row r="165">
      <c r="D165" s="106"/>
    </row>
    <row r="166">
      <c r="D166" s="106"/>
    </row>
    <row r="167">
      <c r="D167" s="106"/>
    </row>
    <row r="168">
      <c r="D168" s="106"/>
    </row>
    <row r="169">
      <c r="D169" s="106"/>
    </row>
    <row r="170">
      <c r="D170" s="106"/>
    </row>
    <row r="171">
      <c r="D171" s="106"/>
    </row>
    <row r="172">
      <c r="D172" s="106"/>
    </row>
    <row r="173">
      <c r="D173" s="106"/>
    </row>
    <row r="174">
      <c r="D174" s="106"/>
    </row>
    <row r="175">
      <c r="D175" s="106"/>
    </row>
    <row r="176">
      <c r="D176" s="106"/>
    </row>
    <row r="177">
      <c r="D177" s="106"/>
    </row>
    <row r="178">
      <c r="D178" s="106"/>
    </row>
    <row r="179">
      <c r="D179" s="106"/>
    </row>
    <row r="180">
      <c r="D180" s="106"/>
    </row>
    <row r="181">
      <c r="D181" s="106"/>
    </row>
    <row r="182">
      <c r="D182" s="106"/>
    </row>
    <row r="183">
      <c r="D183" s="106"/>
    </row>
    <row r="184">
      <c r="D184" s="106"/>
    </row>
    <row r="185">
      <c r="D185" s="106"/>
    </row>
    <row r="186">
      <c r="D186" s="106"/>
    </row>
    <row r="187">
      <c r="D187" s="106"/>
    </row>
    <row r="188">
      <c r="D188" s="106"/>
    </row>
    <row r="189">
      <c r="D189" s="106"/>
    </row>
    <row r="190">
      <c r="D190" s="106"/>
    </row>
    <row r="191">
      <c r="D191" s="106"/>
    </row>
    <row r="192">
      <c r="D192" s="106"/>
    </row>
    <row r="193">
      <c r="D193" s="106"/>
    </row>
    <row r="194">
      <c r="D194" s="106"/>
    </row>
    <row r="195">
      <c r="D195" s="106"/>
    </row>
    <row r="196">
      <c r="D196" s="106"/>
    </row>
    <row r="197">
      <c r="D197" s="106"/>
    </row>
    <row r="198">
      <c r="D198" s="106"/>
    </row>
    <row r="199">
      <c r="D199" s="106"/>
    </row>
    <row r="200">
      <c r="D200" s="106"/>
    </row>
    <row r="201">
      <c r="D201" s="106"/>
    </row>
    <row r="202">
      <c r="D202" s="106"/>
    </row>
    <row r="203">
      <c r="D203" s="106"/>
    </row>
    <row r="204">
      <c r="D204" s="106"/>
    </row>
    <row r="205">
      <c r="D205" s="106"/>
    </row>
    <row r="206">
      <c r="D206" s="106"/>
    </row>
    <row r="207">
      <c r="D207" s="106"/>
    </row>
    <row r="208">
      <c r="D208" s="106"/>
    </row>
    <row r="209">
      <c r="D209" s="106"/>
    </row>
    <row r="210">
      <c r="D210" s="106"/>
    </row>
    <row r="211">
      <c r="D211" s="106"/>
    </row>
    <row r="212">
      <c r="D212" s="106"/>
    </row>
    <row r="213">
      <c r="D213" s="106"/>
    </row>
    <row r="214">
      <c r="D214" s="106"/>
    </row>
    <row r="215">
      <c r="D215" s="106"/>
    </row>
    <row r="216">
      <c r="D216" s="106"/>
    </row>
    <row r="217">
      <c r="D217" s="106"/>
    </row>
    <row r="218">
      <c r="D218" s="106"/>
    </row>
    <row r="219">
      <c r="D219" s="106"/>
    </row>
    <row r="220">
      <c r="D220" s="106"/>
    </row>
    <row r="221">
      <c r="D221" s="106"/>
    </row>
    <row r="222">
      <c r="D222" s="106"/>
    </row>
    <row r="223">
      <c r="D223" s="106"/>
    </row>
    <row r="224">
      <c r="D224" s="106"/>
    </row>
    <row r="225">
      <c r="D225" s="106"/>
    </row>
    <row r="226">
      <c r="D226" s="106"/>
    </row>
    <row r="227">
      <c r="D227" s="106"/>
    </row>
    <row r="228">
      <c r="D228" s="106"/>
    </row>
    <row r="229">
      <c r="D229" s="106"/>
    </row>
    <row r="230">
      <c r="D230" s="106"/>
    </row>
    <row r="231">
      <c r="D231" s="106"/>
    </row>
    <row r="232">
      <c r="D232" s="106"/>
    </row>
    <row r="233">
      <c r="D233" s="106"/>
    </row>
    <row r="234">
      <c r="D234" s="106"/>
    </row>
    <row r="235">
      <c r="D235" s="106"/>
    </row>
    <row r="236">
      <c r="D236" s="106"/>
    </row>
    <row r="237">
      <c r="D237" s="106"/>
    </row>
    <row r="238">
      <c r="D238" s="106"/>
    </row>
    <row r="239">
      <c r="D239" s="106"/>
    </row>
    <row r="240">
      <c r="D240" s="106"/>
    </row>
    <row r="241">
      <c r="D241" s="106"/>
    </row>
    <row r="242">
      <c r="D242" s="106"/>
    </row>
    <row r="243">
      <c r="D243" s="106"/>
    </row>
    <row r="244">
      <c r="D244" s="106"/>
    </row>
    <row r="245">
      <c r="D245" s="106"/>
    </row>
    <row r="246">
      <c r="D246" s="106"/>
    </row>
    <row r="247">
      <c r="D247" s="106"/>
    </row>
    <row r="248">
      <c r="D248" s="106"/>
    </row>
    <row r="249">
      <c r="D249" s="106"/>
    </row>
    <row r="250">
      <c r="D250" s="106"/>
    </row>
    <row r="251">
      <c r="D251" s="106"/>
    </row>
    <row r="252">
      <c r="D252" s="106"/>
    </row>
    <row r="253">
      <c r="D253" s="106"/>
    </row>
    <row r="254">
      <c r="D254" s="106"/>
    </row>
    <row r="255">
      <c r="D255" s="106"/>
    </row>
    <row r="256">
      <c r="D256" s="106"/>
    </row>
    <row r="257">
      <c r="D257" s="106"/>
    </row>
    <row r="258">
      <c r="D258" s="106"/>
    </row>
    <row r="259">
      <c r="D259" s="106"/>
    </row>
    <row r="260">
      <c r="D260" s="106"/>
    </row>
    <row r="261">
      <c r="D261" s="106"/>
    </row>
    <row r="262">
      <c r="D262" s="106"/>
    </row>
    <row r="263">
      <c r="D263" s="106"/>
    </row>
    <row r="264">
      <c r="D264" s="106"/>
    </row>
    <row r="265">
      <c r="D265" s="106"/>
    </row>
    <row r="266">
      <c r="D266" s="106"/>
    </row>
    <row r="267">
      <c r="D267" s="106"/>
    </row>
    <row r="268">
      <c r="D268" s="106"/>
    </row>
    <row r="269">
      <c r="D269" s="106"/>
    </row>
    <row r="270">
      <c r="D270" s="106"/>
    </row>
    <row r="271">
      <c r="D271" s="106"/>
    </row>
    <row r="272">
      <c r="D272" s="106"/>
    </row>
    <row r="273">
      <c r="D273" s="106"/>
    </row>
    <row r="274">
      <c r="D274" s="106"/>
    </row>
    <row r="275">
      <c r="D275" s="106"/>
    </row>
    <row r="276">
      <c r="D276" s="106"/>
    </row>
    <row r="277">
      <c r="D277" s="106"/>
    </row>
    <row r="278">
      <c r="D278" s="106"/>
    </row>
    <row r="279">
      <c r="D279" s="106"/>
    </row>
    <row r="280">
      <c r="D280" s="106"/>
    </row>
    <row r="281">
      <c r="D281" s="106"/>
    </row>
    <row r="282">
      <c r="D282" s="106"/>
    </row>
    <row r="283">
      <c r="D283" s="106"/>
    </row>
    <row r="284">
      <c r="D284" s="106"/>
    </row>
    <row r="285">
      <c r="D285" s="106"/>
    </row>
    <row r="286">
      <c r="D286" s="106"/>
    </row>
    <row r="287">
      <c r="D287" s="106"/>
    </row>
    <row r="288">
      <c r="D288" s="106"/>
    </row>
    <row r="289">
      <c r="D289" s="106"/>
    </row>
    <row r="290">
      <c r="D290" s="106"/>
    </row>
    <row r="291">
      <c r="D291" s="106"/>
    </row>
    <row r="292">
      <c r="D292" s="106"/>
    </row>
    <row r="293">
      <c r="D293" s="106"/>
    </row>
    <row r="294">
      <c r="D294" s="106"/>
    </row>
    <row r="295">
      <c r="D295" s="106"/>
    </row>
    <row r="296">
      <c r="D296" s="106"/>
    </row>
    <row r="297">
      <c r="D297" s="106"/>
    </row>
    <row r="298">
      <c r="D298" s="106"/>
    </row>
    <row r="299">
      <c r="D299" s="106"/>
    </row>
    <row r="300">
      <c r="D300" s="106"/>
    </row>
    <row r="301">
      <c r="D301" s="106"/>
    </row>
    <row r="302">
      <c r="D302" s="106"/>
    </row>
    <row r="303">
      <c r="D303" s="106"/>
    </row>
    <row r="304">
      <c r="D304" s="106"/>
    </row>
    <row r="305">
      <c r="D305" s="106"/>
    </row>
    <row r="306">
      <c r="D306" s="106"/>
    </row>
    <row r="307">
      <c r="D307" s="106"/>
    </row>
    <row r="308">
      <c r="D308" s="106"/>
    </row>
    <row r="309">
      <c r="D309" s="106"/>
    </row>
    <row r="310">
      <c r="D310" s="106"/>
    </row>
    <row r="311">
      <c r="D311" s="106"/>
    </row>
    <row r="312">
      <c r="D312" s="106"/>
    </row>
    <row r="313">
      <c r="D313" s="106"/>
    </row>
    <row r="314">
      <c r="D314" s="106"/>
    </row>
    <row r="315">
      <c r="D315" s="106"/>
    </row>
    <row r="316">
      <c r="D316" s="106"/>
    </row>
    <row r="317">
      <c r="D317" s="106"/>
    </row>
    <row r="318">
      <c r="D318" s="106"/>
    </row>
    <row r="319">
      <c r="D319" s="106"/>
    </row>
    <row r="320">
      <c r="D320" s="106"/>
    </row>
    <row r="321">
      <c r="D321" s="106"/>
    </row>
    <row r="322">
      <c r="D322" s="106"/>
    </row>
    <row r="323">
      <c r="D323" s="106"/>
    </row>
    <row r="324">
      <c r="D324" s="106"/>
    </row>
    <row r="325">
      <c r="D325" s="106"/>
    </row>
    <row r="326">
      <c r="D326" s="106"/>
    </row>
    <row r="327">
      <c r="D327" s="106"/>
    </row>
    <row r="328">
      <c r="D328" s="106"/>
    </row>
    <row r="329">
      <c r="D329" s="106"/>
    </row>
    <row r="330">
      <c r="D330" s="106"/>
    </row>
    <row r="331">
      <c r="D331" s="106"/>
    </row>
    <row r="332">
      <c r="D332" s="106"/>
    </row>
    <row r="333">
      <c r="D333" s="106"/>
    </row>
    <row r="334">
      <c r="D334" s="106"/>
    </row>
    <row r="335">
      <c r="D335" s="106"/>
    </row>
    <row r="336">
      <c r="D336" s="106"/>
    </row>
    <row r="337">
      <c r="D337" s="106"/>
    </row>
    <row r="338">
      <c r="D338" s="106"/>
    </row>
    <row r="339">
      <c r="D339" s="106"/>
    </row>
    <row r="340">
      <c r="D340" s="106"/>
    </row>
    <row r="341">
      <c r="D341" s="106"/>
    </row>
    <row r="342">
      <c r="D342" s="106"/>
    </row>
    <row r="343">
      <c r="D343" s="106"/>
    </row>
    <row r="344">
      <c r="D344" s="106"/>
    </row>
    <row r="345">
      <c r="D345" s="106"/>
    </row>
    <row r="346">
      <c r="D346" s="106"/>
    </row>
    <row r="347">
      <c r="D347" s="106"/>
    </row>
    <row r="348">
      <c r="D348" s="106"/>
    </row>
    <row r="349">
      <c r="D349" s="106"/>
    </row>
    <row r="350">
      <c r="D350" s="106"/>
    </row>
    <row r="351">
      <c r="D351" s="106"/>
    </row>
    <row r="352">
      <c r="D352" s="106"/>
    </row>
    <row r="353">
      <c r="D353" s="106"/>
    </row>
    <row r="354">
      <c r="D354" s="106"/>
    </row>
    <row r="355">
      <c r="D355" s="106"/>
    </row>
    <row r="356">
      <c r="D356" s="106"/>
    </row>
    <row r="357">
      <c r="D357" s="106"/>
    </row>
    <row r="358">
      <c r="D358" s="106"/>
    </row>
    <row r="359">
      <c r="D359" s="106"/>
    </row>
    <row r="360">
      <c r="D360" s="106"/>
    </row>
    <row r="361">
      <c r="D361" s="106"/>
    </row>
    <row r="362">
      <c r="D362" s="106"/>
    </row>
    <row r="363">
      <c r="D363" s="106"/>
    </row>
    <row r="364">
      <c r="D364" s="106"/>
    </row>
    <row r="365">
      <c r="D365" s="106"/>
    </row>
    <row r="366">
      <c r="D366" s="106"/>
    </row>
    <row r="367">
      <c r="D367" s="106"/>
    </row>
    <row r="368">
      <c r="D368" s="106"/>
    </row>
    <row r="369">
      <c r="D369" s="106"/>
    </row>
    <row r="370">
      <c r="D370" s="106"/>
    </row>
    <row r="371">
      <c r="D371" s="106"/>
    </row>
    <row r="372">
      <c r="D372" s="106"/>
    </row>
    <row r="373">
      <c r="D373" s="106"/>
    </row>
    <row r="374">
      <c r="D374" s="106"/>
    </row>
    <row r="375">
      <c r="D375" s="106"/>
    </row>
    <row r="376">
      <c r="D376" s="106"/>
    </row>
    <row r="377">
      <c r="D377" s="106"/>
    </row>
    <row r="378">
      <c r="D378" s="106"/>
    </row>
    <row r="379">
      <c r="D379" s="106"/>
    </row>
    <row r="380">
      <c r="D380" s="106"/>
    </row>
    <row r="381">
      <c r="D381" s="106"/>
    </row>
    <row r="382">
      <c r="D382" s="106"/>
    </row>
    <row r="383">
      <c r="D383" s="106"/>
    </row>
    <row r="384">
      <c r="D384" s="106"/>
    </row>
    <row r="385">
      <c r="D385" s="106"/>
    </row>
    <row r="386">
      <c r="D386" s="106"/>
    </row>
    <row r="387">
      <c r="D387" s="106"/>
    </row>
    <row r="388">
      <c r="D388" s="106"/>
    </row>
    <row r="389">
      <c r="D389" s="106"/>
    </row>
    <row r="390">
      <c r="D390" s="106"/>
    </row>
    <row r="391">
      <c r="D391" s="106"/>
    </row>
    <row r="392">
      <c r="D392" s="106"/>
    </row>
    <row r="393">
      <c r="D393" s="106"/>
    </row>
    <row r="394">
      <c r="D394" s="106"/>
    </row>
    <row r="395">
      <c r="D395" s="106"/>
    </row>
    <row r="396">
      <c r="D396" s="106"/>
    </row>
    <row r="397">
      <c r="D397" s="106"/>
    </row>
    <row r="398">
      <c r="D398" s="106"/>
    </row>
    <row r="399">
      <c r="D399" s="106"/>
    </row>
    <row r="400">
      <c r="D400" s="106"/>
    </row>
    <row r="401">
      <c r="D401" s="106"/>
    </row>
    <row r="402">
      <c r="D402" s="106"/>
    </row>
    <row r="403">
      <c r="D403" s="106"/>
    </row>
    <row r="404">
      <c r="D404" s="106"/>
    </row>
    <row r="405">
      <c r="D405" s="106"/>
    </row>
    <row r="406">
      <c r="D406" s="106"/>
    </row>
    <row r="407">
      <c r="D407" s="106"/>
    </row>
    <row r="408">
      <c r="D408" s="106"/>
    </row>
    <row r="409">
      <c r="D409" s="106"/>
    </row>
    <row r="410">
      <c r="D410" s="106"/>
    </row>
    <row r="411">
      <c r="D411" s="106"/>
    </row>
    <row r="412">
      <c r="D412" s="106"/>
    </row>
    <row r="413">
      <c r="D413" s="106"/>
    </row>
    <row r="414">
      <c r="D414" s="106"/>
    </row>
    <row r="415">
      <c r="D415" s="106"/>
    </row>
    <row r="416">
      <c r="D416" s="106"/>
    </row>
    <row r="417">
      <c r="D417" s="106"/>
    </row>
    <row r="418">
      <c r="D418" s="106"/>
    </row>
    <row r="419">
      <c r="D419" s="106"/>
    </row>
    <row r="420">
      <c r="D420" s="106"/>
    </row>
    <row r="421">
      <c r="D421" s="106"/>
    </row>
    <row r="422">
      <c r="D422" s="106"/>
    </row>
    <row r="423">
      <c r="D423" s="106"/>
    </row>
    <row r="424">
      <c r="D424" s="106"/>
    </row>
    <row r="425">
      <c r="D425" s="106"/>
    </row>
    <row r="426">
      <c r="D426" s="106"/>
    </row>
    <row r="427">
      <c r="D427" s="106"/>
    </row>
    <row r="428">
      <c r="D428" s="106"/>
    </row>
    <row r="429">
      <c r="D429" s="106"/>
    </row>
    <row r="430">
      <c r="D430" s="106"/>
    </row>
    <row r="431">
      <c r="D431" s="106"/>
    </row>
    <row r="432">
      <c r="D432" s="106"/>
    </row>
    <row r="433">
      <c r="D433" s="106"/>
    </row>
    <row r="434">
      <c r="D434" s="106"/>
    </row>
    <row r="435">
      <c r="D435" s="106"/>
    </row>
    <row r="436">
      <c r="D436" s="106"/>
    </row>
    <row r="437">
      <c r="D437" s="106"/>
    </row>
    <row r="438">
      <c r="D438" s="106"/>
    </row>
    <row r="439">
      <c r="D439" s="106"/>
    </row>
    <row r="440">
      <c r="D440" s="106"/>
    </row>
    <row r="441">
      <c r="D441" s="106"/>
    </row>
    <row r="442">
      <c r="D442" s="106"/>
    </row>
    <row r="443">
      <c r="D443" s="106"/>
    </row>
    <row r="444">
      <c r="D444" s="106"/>
    </row>
    <row r="445">
      <c r="D445" s="106"/>
    </row>
    <row r="446">
      <c r="D446" s="106"/>
    </row>
    <row r="447">
      <c r="D447" s="106"/>
    </row>
    <row r="448">
      <c r="D448" s="106"/>
    </row>
    <row r="449">
      <c r="D449" s="106"/>
    </row>
    <row r="450">
      <c r="D450" s="106"/>
    </row>
    <row r="451">
      <c r="D451" s="106"/>
    </row>
    <row r="452">
      <c r="D452" s="106"/>
    </row>
    <row r="453">
      <c r="D453" s="106"/>
    </row>
    <row r="454">
      <c r="D454" s="106"/>
    </row>
    <row r="455">
      <c r="D455" s="106"/>
    </row>
    <row r="456">
      <c r="D456" s="106"/>
    </row>
    <row r="457">
      <c r="D457" s="106"/>
    </row>
    <row r="458">
      <c r="D458" s="106"/>
    </row>
    <row r="459">
      <c r="D459" s="106"/>
    </row>
    <row r="460">
      <c r="D460" s="106"/>
    </row>
    <row r="461">
      <c r="D461" s="106"/>
    </row>
    <row r="462">
      <c r="D462" s="106"/>
    </row>
    <row r="463">
      <c r="D463" s="106"/>
    </row>
    <row r="464">
      <c r="D464" s="106"/>
    </row>
    <row r="465">
      <c r="D465" s="106"/>
    </row>
    <row r="466">
      <c r="D466" s="106"/>
    </row>
    <row r="467">
      <c r="D467" s="106"/>
    </row>
    <row r="468">
      <c r="D468" s="106"/>
    </row>
    <row r="469">
      <c r="D469" s="106"/>
    </row>
    <row r="470">
      <c r="D470" s="106"/>
    </row>
    <row r="471">
      <c r="D471" s="106"/>
    </row>
    <row r="472">
      <c r="D472" s="106"/>
    </row>
    <row r="473">
      <c r="D473" s="106"/>
    </row>
    <row r="474">
      <c r="D474" s="106"/>
    </row>
    <row r="475">
      <c r="D475" s="106"/>
    </row>
    <row r="476">
      <c r="D476" s="106"/>
    </row>
    <row r="477">
      <c r="D477" s="106"/>
    </row>
    <row r="478">
      <c r="D478" s="106"/>
    </row>
    <row r="479">
      <c r="D479" s="106"/>
    </row>
    <row r="480">
      <c r="D480" s="106"/>
    </row>
    <row r="481">
      <c r="D481" s="106"/>
    </row>
    <row r="482">
      <c r="D482" s="106"/>
    </row>
    <row r="483">
      <c r="D483" s="106"/>
    </row>
    <row r="484">
      <c r="D484" s="106"/>
    </row>
    <row r="485">
      <c r="D485" s="106"/>
    </row>
    <row r="486">
      <c r="D486" s="106"/>
    </row>
    <row r="487">
      <c r="D487" s="106"/>
    </row>
    <row r="488">
      <c r="D488" s="106"/>
    </row>
    <row r="489">
      <c r="D489" s="106"/>
    </row>
    <row r="490">
      <c r="D490" s="106"/>
    </row>
    <row r="491">
      <c r="D491" s="106"/>
    </row>
    <row r="492">
      <c r="D492" s="106"/>
    </row>
    <row r="493">
      <c r="D493" s="106"/>
    </row>
    <row r="494">
      <c r="D494" s="106"/>
    </row>
    <row r="495">
      <c r="D495" s="106"/>
    </row>
    <row r="496">
      <c r="D496" s="106"/>
    </row>
    <row r="497">
      <c r="D497" s="106"/>
    </row>
    <row r="498">
      <c r="D498" s="106"/>
    </row>
    <row r="499">
      <c r="D499" s="106"/>
    </row>
    <row r="500">
      <c r="D500" s="106"/>
    </row>
    <row r="501">
      <c r="D501" s="106"/>
    </row>
    <row r="502">
      <c r="D502" s="106"/>
    </row>
    <row r="503">
      <c r="D503" s="106"/>
    </row>
    <row r="504">
      <c r="D504" s="106"/>
    </row>
    <row r="505">
      <c r="D505" s="106"/>
    </row>
    <row r="506">
      <c r="D506" s="106"/>
    </row>
    <row r="507">
      <c r="D507" s="106"/>
    </row>
    <row r="508">
      <c r="D508" s="106"/>
    </row>
    <row r="509">
      <c r="D509" s="106"/>
    </row>
    <row r="510">
      <c r="D510" s="106"/>
    </row>
    <row r="511">
      <c r="D511" s="106"/>
    </row>
    <row r="512">
      <c r="D512" s="106"/>
    </row>
    <row r="513">
      <c r="D513" s="106"/>
    </row>
    <row r="514">
      <c r="D514" s="106"/>
    </row>
    <row r="515">
      <c r="D515" s="106"/>
    </row>
    <row r="516">
      <c r="D516" s="106"/>
    </row>
    <row r="517">
      <c r="D517" s="106"/>
    </row>
    <row r="518">
      <c r="D518" s="106"/>
    </row>
    <row r="519">
      <c r="D519" s="106"/>
    </row>
    <row r="520">
      <c r="D520" s="106"/>
    </row>
    <row r="521">
      <c r="D521" s="106"/>
    </row>
    <row r="522">
      <c r="D522" s="106"/>
    </row>
    <row r="523">
      <c r="D523" s="106"/>
    </row>
    <row r="524">
      <c r="D524" s="106"/>
    </row>
    <row r="525">
      <c r="D525" s="106"/>
    </row>
    <row r="526">
      <c r="D526" s="106"/>
    </row>
    <row r="527">
      <c r="D527" s="106"/>
    </row>
    <row r="528">
      <c r="D528" s="106"/>
    </row>
    <row r="529">
      <c r="D529" s="106"/>
    </row>
    <row r="530">
      <c r="D530" s="106"/>
    </row>
    <row r="531">
      <c r="D531" s="106"/>
    </row>
    <row r="532">
      <c r="D532" s="106"/>
    </row>
    <row r="533">
      <c r="D533" s="106"/>
    </row>
    <row r="534">
      <c r="D534" s="106"/>
    </row>
    <row r="535">
      <c r="D535" s="106"/>
    </row>
    <row r="536">
      <c r="D536" s="106"/>
    </row>
    <row r="537">
      <c r="D537" s="106"/>
    </row>
    <row r="538">
      <c r="D538" s="106"/>
    </row>
    <row r="539">
      <c r="D539" s="106"/>
    </row>
    <row r="540">
      <c r="D540" s="106"/>
    </row>
    <row r="541">
      <c r="D541" s="106"/>
    </row>
    <row r="542">
      <c r="D542" s="106"/>
    </row>
    <row r="543">
      <c r="D543" s="106"/>
    </row>
    <row r="544">
      <c r="D544" s="106"/>
    </row>
    <row r="545">
      <c r="D545" s="106"/>
    </row>
    <row r="546">
      <c r="D546" s="106"/>
    </row>
    <row r="547">
      <c r="D547" s="106"/>
    </row>
    <row r="548">
      <c r="D548" s="106"/>
    </row>
    <row r="549">
      <c r="D549" s="106"/>
    </row>
    <row r="550">
      <c r="D550" s="106"/>
    </row>
    <row r="551">
      <c r="D551" s="106"/>
    </row>
    <row r="552">
      <c r="D552" s="106"/>
    </row>
    <row r="553">
      <c r="D553" s="106"/>
    </row>
    <row r="554">
      <c r="D554" s="106"/>
    </row>
    <row r="555">
      <c r="D555" s="106"/>
    </row>
    <row r="556">
      <c r="D556" s="106"/>
    </row>
    <row r="557">
      <c r="D557" s="106"/>
    </row>
    <row r="558">
      <c r="D558" s="106"/>
    </row>
    <row r="559">
      <c r="D559" s="106"/>
    </row>
    <row r="560">
      <c r="D560" s="106"/>
    </row>
    <row r="561">
      <c r="D561" s="106"/>
    </row>
    <row r="562">
      <c r="D562" s="106"/>
    </row>
    <row r="563">
      <c r="D563" s="106"/>
    </row>
    <row r="564">
      <c r="D564" s="106"/>
    </row>
    <row r="565">
      <c r="D565" s="106"/>
    </row>
    <row r="566">
      <c r="D566" s="106"/>
    </row>
    <row r="567">
      <c r="D567" s="106"/>
    </row>
    <row r="568">
      <c r="D568" s="106"/>
    </row>
    <row r="569">
      <c r="D569" s="106"/>
    </row>
    <row r="570">
      <c r="D570" s="106"/>
    </row>
    <row r="571">
      <c r="D571" s="106"/>
    </row>
    <row r="572">
      <c r="D572" s="106"/>
    </row>
    <row r="573">
      <c r="D573" s="106"/>
    </row>
    <row r="574">
      <c r="D574" s="106"/>
    </row>
    <row r="575">
      <c r="D575" s="106"/>
    </row>
    <row r="576">
      <c r="D576" s="106"/>
    </row>
    <row r="577">
      <c r="D577" s="106"/>
    </row>
    <row r="578">
      <c r="D578" s="106"/>
    </row>
    <row r="579">
      <c r="D579" s="106"/>
    </row>
    <row r="580">
      <c r="D580" s="106"/>
    </row>
    <row r="581">
      <c r="D581" s="106"/>
    </row>
    <row r="582">
      <c r="D582" s="106"/>
    </row>
    <row r="583">
      <c r="D583" s="106"/>
    </row>
    <row r="584">
      <c r="D584" s="106"/>
    </row>
    <row r="585">
      <c r="D585" s="106"/>
    </row>
    <row r="586">
      <c r="D586" s="106"/>
    </row>
    <row r="587">
      <c r="D587" s="106"/>
    </row>
    <row r="588">
      <c r="D588" s="106"/>
    </row>
    <row r="589">
      <c r="D589" s="106"/>
    </row>
    <row r="590">
      <c r="D590" s="106"/>
    </row>
    <row r="591">
      <c r="D591" s="106"/>
    </row>
    <row r="592">
      <c r="D592" s="106"/>
    </row>
    <row r="593">
      <c r="D593" s="106"/>
    </row>
    <row r="594">
      <c r="D594" s="106"/>
    </row>
    <row r="595">
      <c r="D595" s="106"/>
    </row>
    <row r="596">
      <c r="D596" s="106"/>
    </row>
    <row r="597">
      <c r="D597" s="106"/>
    </row>
    <row r="598">
      <c r="D598" s="106"/>
    </row>
    <row r="599">
      <c r="D599" s="106"/>
    </row>
    <row r="600">
      <c r="D600" s="106"/>
    </row>
    <row r="601">
      <c r="D601" s="106"/>
    </row>
    <row r="602">
      <c r="D602" s="106"/>
    </row>
    <row r="603">
      <c r="D603" s="106"/>
    </row>
    <row r="604">
      <c r="D604" s="106"/>
    </row>
    <row r="605">
      <c r="D605" s="106"/>
    </row>
    <row r="606">
      <c r="D606" s="106"/>
    </row>
    <row r="607">
      <c r="D607" s="106"/>
    </row>
    <row r="608">
      <c r="D608" s="106"/>
    </row>
    <row r="609">
      <c r="D609" s="106"/>
    </row>
    <row r="610">
      <c r="D610" s="106"/>
    </row>
    <row r="611">
      <c r="D611" s="106"/>
    </row>
    <row r="612">
      <c r="D612" s="106"/>
    </row>
    <row r="613">
      <c r="D613" s="106"/>
    </row>
    <row r="614">
      <c r="D614" s="106"/>
    </row>
    <row r="615">
      <c r="D615" s="106"/>
    </row>
    <row r="616">
      <c r="D616" s="106"/>
    </row>
    <row r="617">
      <c r="D617" s="106"/>
    </row>
    <row r="618">
      <c r="D618" s="106"/>
    </row>
    <row r="619">
      <c r="D619" s="106"/>
    </row>
    <row r="620">
      <c r="D620" s="106"/>
    </row>
    <row r="621">
      <c r="D621" s="106"/>
    </row>
    <row r="622">
      <c r="D622" s="106"/>
    </row>
    <row r="623">
      <c r="D623" s="106"/>
    </row>
    <row r="624">
      <c r="D624" s="106"/>
    </row>
    <row r="625">
      <c r="D625" s="106"/>
    </row>
    <row r="626">
      <c r="D626" s="106"/>
    </row>
    <row r="627">
      <c r="D627" s="106"/>
    </row>
    <row r="628">
      <c r="D628" s="106"/>
    </row>
    <row r="629">
      <c r="D629" s="106"/>
    </row>
    <row r="630">
      <c r="D630" s="106"/>
    </row>
    <row r="631">
      <c r="D631" s="106"/>
    </row>
    <row r="632">
      <c r="D632" s="106"/>
    </row>
    <row r="633">
      <c r="D633" s="106"/>
    </row>
    <row r="634">
      <c r="D634" s="106"/>
    </row>
    <row r="635">
      <c r="D635" s="106"/>
    </row>
    <row r="636">
      <c r="D636" s="106"/>
    </row>
    <row r="637">
      <c r="D637" s="106"/>
    </row>
    <row r="638">
      <c r="D638" s="106"/>
    </row>
    <row r="639">
      <c r="D639" s="106"/>
    </row>
    <row r="640">
      <c r="D640" s="106"/>
    </row>
    <row r="641">
      <c r="D641" s="106"/>
    </row>
    <row r="642">
      <c r="D642" s="106"/>
    </row>
    <row r="643">
      <c r="D643" s="106"/>
    </row>
    <row r="644">
      <c r="D644" s="106"/>
    </row>
    <row r="645">
      <c r="D645" s="106"/>
    </row>
    <row r="646">
      <c r="D646" s="106"/>
    </row>
    <row r="647">
      <c r="D647" s="106"/>
    </row>
    <row r="648">
      <c r="D648" s="106"/>
    </row>
    <row r="649">
      <c r="D649" s="106"/>
    </row>
    <row r="650">
      <c r="D650" s="106"/>
    </row>
    <row r="651">
      <c r="D651" s="106"/>
    </row>
    <row r="652">
      <c r="D652" s="106"/>
    </row>
    <row r="653">
      <c r="D653" s="106"/>
    </row>
    <row r="654">
      <c r="D654" s="106"/>
    </row>
    <row r="655">
      <c r="D655" s="106"/>
    </row>
    <row r="656">
      <c r="D656" s="106"/>
    </row>
    <row r="657">
      <c r="D657" s="106"/>
    </row>
    <row r="658">
      <c r="D658" s="106"/>
    </row>
    <row r="659">
      <c r="D659" s="106"/>
    </row>
    <row r="660">
      <c r="D660" s="106"/>
    </row>
    <row r="661">
      <c r="D661" s="106"/>
    </row>
    <row r="662">
      <c r="D662" s="106"/>
    </row>
    <row r="663">
      <c r="D663" s="106"/>
    </row>
    <row r="664">
      <c r="D664" s="106"/>
    </row>
    <row r="665">
      <c r="D665" s="106"/>
    </row>
    <row r="666">
      <c r="D666" s="106"/>
    </row>
    <row r="667">
      <c r="D667" s="106"/>
    </row>
    <row r="668">
      <c r="D668" s="106"/>
    </row>
    <row r="669">
      <c r="D669" s="106"/>
    </row>
    <row r="670">
      <c r="D670" s="106"/>
    </row>
    <row r="671">
      <c r="D671" s="106"/>
    </row>
    <row r="672">
      <c r="D672" s="106"/>
    </row>
    <row r="673">
      <c r="D673" s="106"/>
    </row>
    <row r="674">
      <c r="D674" s="106"/>
    </row>
    <row r="675">
      <c r="D675" s="106"/>
    </row>
    <row r="676">
      <c r="D676" s="106"/>
    </row>
    <row r="677">
      <c r="D677" s="106"/>
    </row>
    <row r="678">
      <c r="D678" s="106"/>
    </row>
    <row r="679">
      <c r="D679" s="106"/>
    </row>
    <row r="680">
      <c r="D680" s="106"/>
    </row>
    <row r="681">
      <c r="D681" s="106"/>
    </row>
    <row r="682">
      <c r="D682" s="106"/>
    </row>
    <row r="683">
      <c r="D683" s="106"/>
    </row>
    <row r="684">
      <c r="D684" s="106"/>
    </row>
    <row r="685">
      <c r="D685" s="106"/>
    </row>
    <row r="686">
      <c r="D686" s="106"/>
    </row>
    <row r="687">
      <c r="D687" s="106"/>
    </row>
    <row r="688">
      <c r="D688" s="106"/>
    </row>
    <row r="689">
      <c r="D689" s="106"/>
    </row>
    <row r="690">
      <c r="D690" s="106"/>
    </row>
    <row r="691">
      <c r="D691" s="106"/>
    </row>
    <row r="692">
      <c r="D692" s="106"/>
    </row>
    <row r="693">
      <c r="D693" s="106"/>
    </row>
    <row r="694">
      <c r="D694" s="106"/>
    </row>
    <row r="695">
      <c r="D695" s="106"/>
    </row>
    <row r="696">
      <c r="D696" s="106"/>
    </row>
    <row r="697">
      <c r="D697" s="106"/>
    </row>
    <row r="698">
      <c r="D698" s="106"/>
    </row>
    <row r="699">
      <c r="D699" s="106"/>
    </row>
    <row r="700">
      <c r="D700" s="106"/>
    </row>
    <row r="701">
      <c r="D701" s="106"/>
    </row>
    <row r="702">
      <c r="D702" s="106"/>
    </row>
    <row r="703">
      <c r="D703" s="106"/>
    </row>
    <row r="704">
      <c r="D704" s="106"/>
    </row>
    <row r="705">
      <c r="D705" s="106"/>
    </row>
    <row r="706">
      <c r="D706" s="106"/>
    </row>
    <row r="707">
      <c r="D707" s="106"/>
    </row>
    <row r="708">
      <c r="D708" s="106"/>
    </row>
    <row r="709">
      <c r="D709" s="106"/>
    </row>
    <row r="710">
      <c r="D710" s="106"/>
    </row>
    <row r="711">
      <c r="D711" s="106"/>
    </row>
    <row r="712">
      <c r="D712" s="106"/>
    </row>
    <row r="713">
      <c r="D713" s="106"/>
    </row>
    <row r="714">
      <c r="D714" s="106"/>
    </row>
    <row r="715">
      <c r="D715" s="106"/>
    </row>
    <row r="716">
      <c r="D716" s="106"/>
    </row>
    <row r="717">
      <c r="D717" s="106"/>
    </row>
    <row r="718">
      <c r="D718" s="106"/>
    </row>
    <row r="719">
      <c r="D719" s="106"/>
    </row>
    <row r="720">
      <c r="D720" s="106"/>
    </row>
    <row r="721">
      <c r="D721" s="106"/>
    </row>
    <row r="722">
      <c r="D722" s="106"/>
    </row>
    <row r="723">
      <c r="D723" s="106"/>
    </row>
    <row r="724">
      <c r="D724" s="106"/>
    </row>
    <row r="725">
      <c r="D725" s="106"/>
    </row>
    <row r="726">
      <c r="D726" s="106"/>
    </row>
    <row r="727">
      <c r="D727" s="106"/>
    </row>
    <row r="728">
      <c r="D728" s="106"/>
    </row>
    <row r="729">
      <c r="D729" s="106"/>
    </row>
    <row r="730">
      <c r="D730" s="106"/>
    </row>
    <row r="731">
      <c r="D731" s="106"/>
    </row>
    <row r="732">
      <c r="D732" s="106"/>
    </row>
    <row r="733">
      <c r="D733" s="106"/>
    </row>
    <row r="734">
      <c r="D734" s="106"/>
    </row>
    <row r="735">
      <c r="D735" s="106"/>
    </row>
    <row r="736">
      <c r="D736" s="106"/>
    </row>
    <row r="737">
      <c r="D737" s="106"/>
    </row>
    <row r="738">
      <c r="D738" s="106"/>
    </row>
    <row r="739">
      <c r="D739" s="106"/>
    </row>
    <row r="740">
      <c r="D740" s="106"/>
    </row>
    <row r="741">
      <c r="D741" s="106"/>
    </row>
    <row r="742">
      <c r="D742" s="106"/>
    </row>
    <row r="743">
      <c r="D743" s="106"/>
    </row>
    <row r="744">
      <c r="D744" s="106"/>
    </row>
    <row r="745">
      <c r="D745" s="106"/>
    </row>
    <row r="746">
      <c r="D746" s="106"/>
    </row>
    <row r="747">
      <c r="D747" s="106"/>
    </row>
    <row r="748">
      <c r="D748" s="106"/>
    </row>
    <row r="749">
      <c r="D749" s="106"/>
    </row>
    <row r="750">
      <c r="D750" s="106"/>
    </row>
    <row r="751">
      <c r="D751" s="106"/>
    </row>
    <row r="752">
      <c r="D752" s="106"/>
    </row>
    <row r="753">
      <c r="D753" s="106"/>
    </row>
    <row r="754">
      <c r="D754" s="106"/>
    </row>
    <row r="755">
      <c r="D755" s="106"/>
    </row>
    <row r="756">
      <c r="D756" s="106"/>
    </row>
    <row r="757">
      <c r="D757" s="106"/>
    </row>
    <row r="758">
      <c r="D758" s="106"/>
    </row>
    <row r="759">
      <c r="D759" s="106"/>
    </row>
    <row r="760">
      <c r="D760" s="106"/>
    </row>
    <row r="761">
      <c r="D761" s="106"/>
    </row>
    <row r="762">
      <c r="D762" s="106"/>
    </row>
    <row r="763">
      <c r="D763" s="106"/>
    </row>
    <row r="764">
      <c r="D764" s="106"/>
    </row>
    <row r="765">
      <c r="D765" s="106"/>
    </row>
    <row r="766">
      <c r="D766" s="106"/>
    </row>
    <row r="767">
      <c r="D767" s="106"/>
    </row>
    <row r="768">
      <c r="D768" s="106"/>
    </row>
    <row r="769">
      <c r="D769" s="106"/>
    </row>
    <row r="770">
      <c r="D770" s="106"/>
    </row>
    <row r="771">
      <c r="D771" s="106"/>
    </row>
    <row r="772">
      <c r="D772" s="106"/>
    </row>
    <row r="773">
      <c r="D773" s="106"/>
    </row>
    <row r="774">
      <c r="D774" s="106"/>
    </row>
    <row r="775">
      <c r="D775" s="106"/>
    </row>
    <row r="776">
      <c r="D776" s="106"/>
    </row>
    <row r="777">
      <c r="D777" s="106"/>
    </row>
    <row r="778">
      <c r="D778" s="106"/>
    </row>
    <row r="779">
      <c r="D779" s="106"/>
    </row>
    <row r="780">
      <c r="D780" s="106"/>
    </row>
    <row r="781">
      <c r="D781" s="106"/>
    </row>
    <row r="782">
      <c r="D782" s="106"/>
    </row>
    <row r="783">
      <c r="D783" s="106"/>
    </row>
    <row r="784">
      <c r="D784" s="106"/>
    </row>
    <row r="785">
      <c r="D785" s="106"/>
    </row>
    <row r="786">
      <c r="D786" s="106"/>
    </row>
    <row r="787">
      <c r="D787" s="106"/>
    </row>
    <row r="788">
      <c r="D788" s="106"/>
    </row>
    <row r="789">
      <c r="D789" s="106"/>
    </row>
    <row r="790">
      <c r="D790" s="106"/>
    </row>
    <row r="791">
      <c r="D791" s="106"/>
    </row>
    <row r="792">
      <c r="D792" s="106"/>
    </row>
    <row r="793">
      <c r="D793" s="106"/>
    </row>
    <row r="794">
      <c r="D794" s="106"/>
    </row>
    <row r="795">
      <c r="D795" s="106"/>
    </row>
    <row r="796">
      <c r="D796" s="106"/>
    </row>
    <row r="797">
      <c r="D797" s="106"/>
    </row>
    <row r="798">
      <c r="D798" s="106"/>
    </row>
    <row r="799">
      <c r="D799" s="106"/>
    </row>
    <row r="800">
      <c r="D800" s="106"/>
    </row>
    <row r="801">
      <c r="D801" s="106"/>
    </row>
    <row r="802">
      <c r="D802" s="106"/>
    </row>
    <row r="803">
      <c r="D803" s="106"/>
    </row>
    <row r="804">
      <c r="D804" s="106"/>
    </row>
    <row r="805">
      <c r="D805" s="106"/>
    </row>
    <row r="806">
      <c r="D806" s="106"/>
    </row>
    <row r="807">
      <c r="D807" s="106"/>
    </row>
    <row r="808">
      <c r="D808" s="106"/>
    </row>
    <row r="809">
      <c r="D809" s="106"/>
    </row>
    <row r="810">
      <c r="D810" s="106"/>
    </row>
    <row r="811">
      <c r="D811" s="106"/>
    </row>
    <row r="812">
      <c r="D812" s="106"/>
    </row>
    <row r="813">
      <c r="D813" s="106"/>
    </row>
    <row r="814">
      <c r="D814" s="106"/>
    </row>
    <row r="815">
      <c r="D815" s="106"/>
    </row>
    <row r="816">
      <c r="D816" s="106"/>
    </row>
    <row r="817">
      <c r="D817" s="106"/>
    </row>
    <row r="818">
      <c r="D818" s="106"/>
    </row>
    <row r="819">
      <c r="D819" s="106"/>
    </row>
    <row r="820">
      <c r="D820" s="106"/>
    </row>
    <row r="821">
      <c r="D821" s="106"/>
    </row>
    <row r="822">
      <c r="D822" s="106"/>
    </row>
    <row r="823">
      <c r="D823" s="106"/>
    </row>
    <row r="824">
      <c r="D824" s="106"/>
    </row>
    <row r="825">
      <c r="D825" s="106"/>
    </row>
    <row r="826">
      <c r="D826" s="106"/>
    </row>
    <row r="827">
      <c r="D827" s="106"/>
    </row>
    <row r="828">
      <c r="D828" s="106"/>
    </row>
    <row r="829">
      <c r="D829" s="106"/>
    </row>
    <row r="830">
      <c r="D830" s="106"/>
    </row>
    <row r="831">
      <c r="D831" s="106"/>
    </row>
    <row r="832">
      <c r="D832" s="106"/>
    </row>
    <row r="833">
      <c r="D833" s="106"/>
    </row>
    <row r="834">
      <c r="D834" s="106"/>
    </row>
    <row r="835">
      <c r="D835" s="106"/>
    </row>
    <row r="836">
      <c r="D836" s="106"/>
    </row>
    <row r="837">
      <c r="D837" s="106"/>
    </row>
    <row r="838">
      <c r="D838" s="106"/>
    </row>
    <row r="839">
      <c r="D839" s="106"/>
    </row>
    <row r="840">
      <c r="D840" s="106"/>
    </row>
    <row r="841">
      <c r="D841" s="106"/>
    </row>
    <row r="842">
      <c r="D842" s="106"/>
    </row>
    <row r="843">
      <c r="D843" s="106"/>
    </row>
    <row r="844">
      <c r="D844" s="106"/>
    </row>
    <row r="845">
      <c r="D845" s="106"/>
    </row>
    <row r="846">
      <c r="D846" s="106"/>
    </row>
    <row r="847">
      <c r="D847" s="106"/>
    </row>
    <row r="848">
      <c r="D848" s="106"/>
    </row>
    <row r="849">
      <c r="D849" s="106"/>
    </row>
    <row r="850">
      <c r="D850" s="106"/>
    </row>
    <row r="851">
      <c r="D851" s="106"/>
    </row>
    <row r="852">
      <c r="D852" s="106"/>
    </row>
    <row r="853">
      <c r="D853" s="106"/>
    </row>
    <row r="854">
      <c r="D854" s="106"/>
    </row>
    <row r="855">
      <c r="D855" s="106"/>
    </row>
    <row r="856">
      <c r="D856" s="106"/>
    </row>
    <row r="857">
      <c r="D857" s="106"/>
    </row>
    <row r="858">
      <c r="D858" s="106"/>
    </row>
    <row r="859">
      <c r="D859" s="106"/>
    </row>
    <row r="860">
      <c r="D860" s="106"/>
    </row>
    <row r="861">
      <c r="D861" s="106"/>
    </row>
    <row r="862">
      <c r="D862" s="106"/>
    </row>
    <row r="863">
      <c r="D863" s="106"/>
    </row>
    <row r="864">
      <c r="D864" s="106"/>
    </row>
    <row r="865">
      <c r="D865" s="106"/>
    </row>
    <row r="866">
      <c r="D866" s="106"/>
    </row>
    <row r="867">
      <c r="D867" s="106"/>
    </row>
    <row r="868">
      <c r="D868" s="106"/>
    </row>
    <row r="869">
      <c r="D869" s="106"/>
    </row>
    <row r="870">
      <c r="D870" s="106"/>
    </row>
    <row r="871">
      <c r="D871" s="106"/>
    </row>
    <row r="872">
      <c r="D872" s="106"/>
    </row>
    <row r="873">
      <c r="D873" s="106"/>
    </row>
    <row r="874">
      <c r="D874" s="106"/>
    </row>
    <row r="875">
      <c r="D875" s="106"/>
    </row>
    <row r="876">
      <c r="D876" s="106"/>
    </row>
    <row r="877">
      <c r="D877" s="106"/>
    </row>
    <row r="878">
      <c r="D878" s="106"/>
    </row>
    <row r="879">
      <c r="D879" s="106"/>
    </row>
    <row r="880">
      <c r="D880" s="106"/>
    </row>
    <row r="881">
      <c r="D881" s="106"/>
    </row>
    <row r="882">
      <c r="D882" s="106"/>
    </row>
    <row r="883">
      <c r="D883" s="106"/>
    </row>
    <row r="884">
      <c r="D884" s="106"/>
    </row>
    <row r="885">
      <c r="D885" s="106"/>
    </row>
    <row r="886">
      <c r="D886" s="106"/>
    </row>
    <row r="887">
      <c r="D887" s="106"/>
    </row>
    <row r="888">
      <c r="D888" s="106"/>
    </row>
    <row r="889">
      <c r="D889" s="106"/>
    </row>
    <row r="890">
      <c r="D890" s="106"/>
    </row>
    <row r="891">
      <c r="D891" s="106"/>
    </row>
    <row r="892">
      <c r="D892" s="106"/>
    </row>
    <row r="893">
      <c r="D893" s="106"/>
    </row>
    <row r="894">
      <c r="D894" s="106"/>
    </row>
    <row r="895">
      <c r="D895" s="106"/>
    </row>
    <row r="896">
      <c r="D896" s="106"/>
    </row>
    <row r="897">
      <c r="D897" s="106"/>
    </row>
    <row r="898">
      <c r="D898" s="106"/>
    </row>
    <row r="899">
      <c r="D899" s="106"/>
    </row>
    <row r="900">
      <c r="D900" s="106"/>
    </row>
    <row r="901">
      <c r="D901" s="106"/>
    </row>
    <row r="902">
      <c r="D902" s="106"/>
    </row>
    <row r="903">
      <c r="D903" s="106"/>
    </row>
    <row r="904">
      <c r="D904" s="106"/>
    </row>
    <row r="905">
      <c r="D905" s="106"/>
    </row>
    <row r="906">
      <c r="D906" s="106"/>
    </row>
    <row r="907">
      <c r="D907" s="106"/>
    </row>
    <row r="908">
      <c r="D908" s="106"/>
    </row>
    <row r="909">
      <c r="D909" s="106"/>
    </row>
    <row r="910">
      <c r="D910" s="106"/>
    </row>
    <row r="911">
      <c r="D911" s="106"/>
    </row>
    <row r="912">
      <c r="D912" s="106"/>
    </row>
    <row r="913">
      <c r="D913" s="106"/>
    </row>
    <row r="914">
      <c r="D914" s="106"/>
    </row>
    <row r="915">
      <c r="D915" s="106"/>
    </row>
    <row r="916">
      <c r="D916" s="106"/>
    </row>
    <row r="917">
      <c r="D917" s="106"/>
    </row>
    <row r="918">
      <c r="D918" s="106"/>
    </row>
    <row r="919">
      <c r="D919" s="106"/>
    </row>
    <row r="920">
      <c r="D920" s="106"/>
    </row>
    <row r="921">
      <c r="D921" s="106"/>
    </row>
    <row r="922">
      <c r="D922" s="106"/>
    </row>
    <row r="923">
      <c r="D923" s="106"/>
    </row>
    <row r="924">
      <c r="D924" s="106"/>
    </row>
    <row r="925">
      <c r="D925" s="106"/>
    </row>
    <row r="926">
      <c r="D926" s="106"/>
    </row>
    <row r="927">
      <c r="D927" s="106"/>
    </row>
    <row r="928">
      <c r="D928" s="106"/>
    </row>
    <row r="929">
      <c r="D929" s="106"/>
    </row>
    <row r="930">
      <c r="D930" s="106"/>
    </row>
    <row r="931">
      <c r="D931" s="106"/>
    </row>
    <row r="932">
      <c r="D932" s="106"/>
    </row>
    <row r="933">
      <c r="D933" s="106"/>
    </row>
    <row r="934">
      <c r="D934" s="106"/>
    </row>
    <row r="935">
      <c r="D935" s="106"/>
    </row>
    <row r="936">
      <c r="D936" s="106"/>
    </row>
    <row r="937">
      <c r="D937" s="106"/>
    </row>
    <row r="938">
      <c r="D938" s="106"/>
    </row>
    <row r="939">
      <c r="D939" s="106"/>
    </row>
    <row r="940">
      <c r="D940" s="106"/>
    </row>
    <row r="941">
      <c r="D941" s="106"/>
    </row>
    <row r="942">
      <c r="D942" s="106"/>
    </row>
    <row r="943">
      <c r="D943" s="106"/>
    </row>
    <row r="944">
      <c r="D944" s="106"/>
    </row>
    <row r="945">
      <c r="D945" s="106"/>
    </row>
    <row r="946">
      <c r="D946" s="106"/>
    </row>
    <row r="947">
      <c r="D947" s="106"/>
    </row>
    <row r="948">
      <c r="D948" s="106"/>
    </row>
    <row r="949">
      <c r="D949" s="106"/>
    </row>
    <row r="950">
      <c r="D950" s="106"/>
    </row>
    <row r="951">
      <c r="D951" s="106"/>
    </row>
    <row r="952">
      <c r="D952" s="106"/>
    </row>
    <row r="953">
      <c r="D953" s="106"/>
    </row>
    <row r="954">
      <c r="D954" s="106"/>
    </row>
    <row r="955">
      <c r="D955" s="106"/>
    </row>
    <row r="956">
      <c r="D956" s="106"/>
    </row>
    <row r="957">
      <c r="D957" s="106"/>
    </row>
    <row r="958">
      <c r="D958" s="106"/>
    </row>
    <row r="959">
      <c r="D959" s="106"/>
    </row>
    <row r="960">
      <c r="D960" s="106"/>
    </row>
    <row r="961">
      <c r="D961" s="106"/>
    </row>
    <row r="962">
      <c r="D962" s="106"/>
    </row>
    <row r="963">
      <c r="D963" s="106"/>
    </row>
    <row r="964">
      <c r="D964" s="106"/>
    </row>
    <row r="965">
      <c r="D965" s="106"/>
    </row>
    <row r="966">
      <c r="D966" s="106"/>
    </row>
    <row r="967">
      <c r="D967" s="106"/>
    </row>
    <row r="968">
      <c r="D968" s="106"/>
    </row>
    <row r="969">
      <c r="D969" s="106"/>
    </row>
    <row r="970">
      <c r="D970" s="106"/>
    </row>
    <row r="971">
      <c r="D971" s="106"/>
    </row>
    <row r="972">
      <c r="D972" s="106"/>
    </row>
    <row r="973">
      <c r="D973" s="106"/>
    </row>
    <row r="974">
      <c r="D974" s="106"/>
    </row>
    <row r="975">
      <c r="D975" s="106"/>
    </row>
    <row r="976">
      <c r="D976" s="106"/>
    </row>
    <row r="977">
      <c r="D977" s="106"/>
    </row>
    <row r="978">
      <c r="D978" s="106"/>
    </row>
    <row r="979">
      <c r="D979" s="106"/>
    </row>
    <row r="980">
      <c r="D980" s="106"/>
    </row>
    <row r="981">
      <c r="D981" s="106"/>
    </row>
    <row r="982">
      <c r="D982" s="106"/>
    </row>
    <row r="983">
      <c r="D983" s="106"/>
    </row>
    <row r="984">
      <c r="D984" s="106"/>
    </row>
    <row r="985">
      <c r="D985" s="106"/>
    </row>
    <row r="986">
      <c r="D986" s="106"/>
    </row>
    <row r="987">
      <c r="D987" s="106"/>
    </row>
    <row r="988">
      <c r="D988" s="106"/>
    </row>
    <row r="989">
      <c r="D989" s="106"/>
    </row>
    <row r="990">
      <c r="D990" s="106"/>
    </row>
    <row r="991">
      <c r="D991" s="106"/>
    </row>
    <row r="992">
      <c r="D992" s="106"/>
    </row>
    <row r="993">
      <c r="D993" s="106"/>
    </row>
    <row r="994">
      <c r="D994" s="106"/>
    </row>
    <row r="995">
      <c r="D995" s="106"/>
    </row>
    <row r="996">
      <c r="D996" s="106"/>
    </row>
    <row r="997">
      <c r="D997" s="106"/>
    </row>
    <row r="998">
      <c r="D998" s="106"/>
    </row>
    <row r="999">
      <c r="D999" s="106"/>
    </row>
    <row r="1000">
      <c r="D1000" s="106"/>
    </row>
    <row r="1001">
      <c r="D1001" s="106"/>
    </row>
    <row r="1002">
      <c r="D1002" s="106"/>
    </row>
    <row r="1003">
      <c r="D1003" s="106"/>
    </row>
    <row r="1004">
      <c r="D1004" s="106"/>
    </row>
    <row r="1005">
      <c r="D1005" s="106"/>
    </row>
    <row r="1006">
      <c r="D1006" s="106"/>
    </row>
    <row r="1007">
      <c r="D1007" s="106"/>
    </row>
    <row r="1008">
      <c r="D1008" s="106"/>
    </row>
    <row r="1009">
      <c r="D1009" s="106"/>
    </row>
    <row r="1010">
      <c r="D1010" s="106"/>
    </row>
    <row r="1011">
      <c r="D1011" s="106"/>
    </row>
    <row r="1012">
      <c r="D1012" s="106"/>
    </row>
    <row r="1013">
      <c r="D1013" s="106"/>
    </row>
    <row r="1014">
      <c r="D1014" s="106"/>
    </row>
    <row r="1015">
      <c r="D1015" s="106"/>
    </row>
    <row r="1016">
      <c r="D1016" s="106"/>
    </row>
    <row r="1017">
      <c r="D1017" s="106"/>
    </row>
    <row r="1018">
      <c r="D1018" s="106"/>
    </row>
    <row r="1019">
      <c r="D1019" s="106"/>
    </row>
    <row r="1020">
      <c r="D1020" s="106"/>
    </row>
    <row r="1021">
      <c r="D1021" s="106"/>
    </row>
    <row r="1022">
      <c r="D1022" s="106"/>
    </row>
    <row r="1023">
      <c r="D1023" s="106"/>
    </row>
    <row r="1024">
      <c r="D1024" s="106"/>
    </row>
    <row r="1025">
      <c r="D1025" s="106"/>
    </row>
    <row r="1026">
      <c r="D1026" s="106"/>
    </row>
    <row r="1027">
      <c r="D1027" s="106"/>
    </row>
    <row r="1028">
      <c r="D1028" s="106"/>
    </row>
    <row r="1029">
      <c r="D1029" s="106"/>
    </row>
    <row r="1030">
      <c r="D1030" s="106"/>
    </row>
    <row r="1031">
      <c r="D1031" s="106"/>
    </row>
    <row r="1032">
      <c r="D1032" s="106"/>
    </row>
    <row r="1033">
      <c r="D1033" s="106"/>
    </row>
    <row r="1034">
      <c r="D1034" s="106"/>
    </row>
    <row r="1035">
      <c r="D1035" s="106"/>
    </row>
    <row r="1036">
      <c r="D1036" s="106"/>
    </row>
    <row r="1037">
      <c r="D1037" s="106"/>
    </row>
  </sheetData>
  <mergeCells count="2">
    <mergeCell ref="B1:G1"/>
    <mergeCell ref="B15:G1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63"/>
    <col customWidth="1" min="2" max="2" width="14.5"/>
    <col customWidth="1" min="3" max="3" width="10.13"/>
    <col customWidth="1" min="4" max="4" width="64.13"/>
    <col customWidth="1" min="5" max="6" width="22.75"/>
  </cols>
  <sheetData>
    <row r="1" ht="22.5" customHeight="1">
      <c r="A1" s="181" t="s">
        <v>695</v>
      </c>
      <c r="B1" s="181" t="s">
        <v>696</v>
      </c>
      <c r="C1" s="181" t="s">
        <v>697</v>
      </c>
      <c r="D1" s="181" t="s">
        <v>698</v>
      </c>
      <c r="E1" s="181" t="s">
        <v>699</v>
      </c>
      <c r="F1" s="181" t="s">
        <v>700</v>
      </c>
    </row>
    <row r="2" ht="26.25" customHeight="1">
      <c r="A2" s="182" t="s">
        <v>701</v>
      </c>
      <c r="B2" s="183">
        <v>1.0</v>
      </c>
      <c r="C2" s="184" t="s">
        <v>702</v>
      </c>
      <c r="D2" s="182" t="s">
        <v>703</v>
      </c>
      <c r="E2" s="185"/>
      <c r="F2" s="185"/>
    </row>
    <row r="3" ht="26.25" customHeight="1">
      <c r="A3" s="182" t="s">
        <v>704</v>
      </c>
      <c r="B3" s="183">
        <v>1.0</v>
      </c>
      <c r="C3" s="184" t="s">
        <v>245</v>
      </c>
      <c r="D3" s="182" t="s">
        <v>705</v>
      </c>
      <c r="E3" s="185"/>
      <c r="F3" s="185"/>
    </row>
    <row r="4" ht="26.25" customHeight="1">
      <c r="A4" s="182" t="s">
        <v>706</v>
      </c>
      <c r="B4" s="183">
        <v>2.0</v>
      </c>
      <c r="C4" s="184" t="s">
        <v>174</v>
      </c>
      <c r="D4" s="182" t="s">
        <v>707</v>
      </c>
      <c r="E4" s="185"/>
      <c r="F4" s="185"/>
    </row>
    <row r="5" ht="26.25" customHeight="1">
      <c r="A5" s="186" t="s">
        <v>708</v>
      </c>
      <c r="B5" s="187">
        <v>3.0</v>
      </c>
      <c r="C5" s="188" t="s">
        <v>174</v>
      </c>
      <c r="D5" s="189" t="s">
        <v>709</v>
      </c>
      <c r="E5" s="185"/>
      <c r="F5" s="185"/>
    </row>
    <row r="6" ht="26.25" customHeight="1">
      <c r="A6" s="182" t="s">
        <v>710</v>
      </c>
      <c r="B6" s="183">
        <v>1.0</v>
      </c>
      <c r="C6" s="184" t="s">
        <v>245</v>
      </c>
      <c r="D6" s="182" t="s">
        <v>711</v>
      </c>
      <c r="E6" s="185"/>
      <c r="F6" s="185"/>
    </row>
    <row r="7" ht="26.25" customHeight="1">
      <c r="A7" s="182" t="s">
        <v>712</v>
      </c>
      <c r="B7" s="190"/>
      <c r="C7" s="184" t="s">
        <v>245</v>
      </c>
      <c r="D7" s="182" t="s">
        <v>713</v>
      </c>
      <c r="E7" s="185"/>
      <c r="F7" s="185"/>
    </row>
    <row r="8" ht="26.25" customHeight="1">
      <c r="A8" s="182" t="s">
        <v>714</v>
      </c>
      <c r="B8" s="190"/>
      <c r="C8" s="184" t="s">
        <v>199</v>
      </c>
      <c r="D8" s="182" t="s">
        <v>715</v>
      </c>
      <c r="E8" s="185"/>
      <c r="F8" s="185"/>
    </row>
    <row r="9" ht="26.25" customHeight="1">
      <c r="A9" s="182" t="s">
        <v>716</v>
      </c>
      <c r="B9" s="190"/>
      <c r="C9" s="184" t="s">
        <v>481</v>
      </c>
      <c r="D9" s="182" t="s">
        <v>717</v>
      </c>
      <c r="E9" s="185"/>
      <c r="F9" s="185"/>
    </row>
    <row r="10" ht="26.25" customHeight="1">
      <c r="A10" s="191"/>
      <c r="B10" s="185"/>
      <c r="C10" s="185"/>
      <c r="D10" s="185"/>
      <c r="E10" s="185"/>
      <c r="F10" s="185"/>
    </row>
    <row r="11" ht="26.25" customHeight="1">
      <c r="A11" s="185"/>
      <c r="B11" s="185"/>
      <c r="C11" s="185"/>
      <c r="D11" s="185"/>
      <c r="E11" s="185"/>
      <c r="F11" s="185"/>
    </row>
    <row r="12" ht="26.25" customHeight="1">
      <c r="A12" s="184" t="s">
        <v>718</v>
      </c>
      <c r="B12" s="185"/>
      <c r="C12" s="184" t="s">
        <v>245</v>
      </c>
      <c r="D12" s="185"/>
      <c r="E12" s="185"/>
      <c r="F12" s="185"/>
    </row>
    <row r="13" ht="26.25" customHeight="1">
      <c r="A13" s="184" t="s">
        <v>719</v>
      </c>
      <c r="B13" s="185"/>
      <c r="C13" s="184" t="s">
        <v>245</v>
      </c>
      <c r="D13" s="184" t="s">
        <v>720</v>
      </c>
      <c r="E13" s="185"/>
      <c r="F13" s="185"/>
    </row>
    <row r="14" ht="26.25" customHeight="1">
      <c r="A14" s="185"/>
      <c r="B14" s="185"/>
      <c r="C14" s="185"/>
      <c r="D14" s="185"/>
      <c r="E14" s="185"/>
      <c r="F14" s="185"/>
    </row>
    <row r="15" ht="26.25" customHeight="1">
      <c r="A15" s="185"/>
      <c r="B15" s="185"/>
      <c r="C15" s="185"/>
      <c r="D15" s="185"/>
      <c r="E15" s="185"/>
      <c r="F15" s="185"/>
    </row>
    <row r="16" ht="26.25" customHeight="1">
      <c r="A16" s="185"/>
      <c r="B16" s="185"/>
      <c r="C16" s="185"/>
      <c r="D16" s="185"/>
      <c r="E16" s="185"/>
      <c r="F16" s="18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92" t="s">
        <v>721</v>
      </c>
    </row>
  </sheetData>
  <hyperlinks>
    <hyperlink r:id="rId1" ref="A3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88"/>
    <col customWidth="1" min="5" max="5" width="21.13"/>
    <col customWidth="1" min="6" max="6" width="3.63"/>
    <col customWidth="1" min="8" max="8" width="18.38"/>
    <col customWidth="1" min="9" max="9" width="24.13"/>
    <col customWidth="1" min="16" max="16" width="12.63"/>
    <col customWidth="1" min="17" max="17" width="10.88"/>
    <col customWidth="1" min="18" max="18" width="15.5"/>
    <col customWidth="1" min="19" max="19" width="18.13"/>
    <col customWidth="1" min="20" max="20" width="10.88"/>
    <col customWidth="1" min="21" max="21" width="15.5"/>
    <col customWidth="1" min="22" max="22" width="18.13"/>
    <col customWidth="1" min="23" max="23" width="22.13"/>
  </cols>
  <sheetData>
    <row r="2" ht="15.0" customHeight="1">
      <c r="B2" s="193" t="s">
        <v>448</v>
      </c>
      <c r="C2" s="194" t="s">
        <v>32</v>
      </c>
      <c r="D2" s="194" t="s">
        <v>33</v>
      </c>
      <c r="E2" s="195" t="s">
        <v>722</v>
      </c>
      <c r="F2" s="196"/>
      <c r="G2" s="197" t="s">
        <v>32</v>
      </c>
      <c r="H2" s="198" t="s">
        <v>33</v>
      </c>
      <c r="I2" s="198" t="s">
        <v>722</v>
      </c>
    </row>
    <row r="3" ht="15.0" customHeight="1">
      <c r="B3" s="199">
        <v>45426.0</v>
      </c>
      <c r="C3" s="200" t="s">
        <v>199</v>
      </c>
      <c r="D3" s="200" t="s">
        <v>46</v>
      </c>
      <c r="E3" s="200" t="s">
        <v>201</v>
      </c>
      <c r="F3" s="201"/>
      <c r="G3" s="200" t="s">
        <v>221</v>
      </c>
      <c r="H3" s="200" t="s">
        <v>57</v>
      </c>
      <c r="I3" s="202" t="s">
        <v>723</v>
      </c>
    </row>
    <row r="4" ht="15.0" customHeight="1">
      <c r="B4" s="203"/>
      <c r="C4" s="204"/>
      <c r="D4" s="205" t="s">
        <v>57</v>
      </c>
      <c r="E4" s="205" t="s">
        <v>724</v>
      </c>
      <c r="F4" s="204"/>
      <c r="G4" s="204"/>
      <c r="H4" s="205" t="s">
        <v>57</v>
      </c>
      <c r="I4" s="206" t="s">
        <v>725</v>
      </c>
    </row>
    <row r="5" ht="15.0" customHeight="1">
      <c r="B5" s="203"/>
      <c r="C5" s="204"/>
      <c r="D5" s="205" t="s">
        <v>57</v>
      </c>
      <c r="E5" s="205" t="s">
        <v>726</v>
      </c>
      <c r="F5" s="204"/>
      <c r="G5" s="204"/>
      <c r="H5" s="207"/>
      <c r="I5" s="208"/>
      <c r="J5" s="207"/>
      <c r="K5" s="207"/>
      <c r="L5" s="207"/>
      <c r="M5" s="207"/>
      <c r="N5" s="207"/>
      <c r="O5" s="209"/>
    </row>
    <row r="6" ht="15.0" customHeight="1">
      <c r="B6" s="203"/>
      <c r="C6" s="204"/>
      <c r="D6" s="205" t="s">
        <v>727</v>
      </c>
      <c r="E6" s="205" t="s">
        <v>728</v>
      </c>
      <c r="F6" s="204"/>
      <c r="G6" s="204"/>
      <c r="H6" s="204"/>
      <c r="I6" s="208"/>
    </row>
    <row r="7" ht="15.0" customHeight="1">
      <c r="B7" s="210"/>
      <c r="I7" s="211"/>
    </row>
    <row r="8" ht="15.0" customHeight="1">
      <c r="B8" s="212">
        <v>45482.0</v>
      </c>
      <c r="C8" s="205" t="s">
        <v>269</v>
      </c>
      <c r="D8" s="205" t="s">
        <v>57</v>
      </c>
      <c r="E8" s="205" t="s">
        <v>729</v>
      </c>
      <c r="F8" s="204"/>
      <c r="G8" s="205" t="s">
        <v>174</v>
      </c>
      <c r="H8" s="205" t="s">
        <v>60</v>
      </c>
      <c r="I8" s="206" t="s">
        <v>181</v>
      </c>
    </row>
    <row r="9" ht="15.0" customHeight="1">
      <c r="B9" s="203"/>
      <c r="C9" s="204"/>
      <c r="D9" s="205" t="s">
        <v>55</v>
      </c>
      <c r="E9" s="205" t="s">
        <v>730</v>
      </c>
      <c r="F9" s="204"/>
      <c r="G9" s="204"/>
      <c r="H9" s="204"/>
      <c r="I9" s="208"/>
    </row>
    <row r="10" ht="15.0" customHeight="1">
      <c r="B10" s="210"/>
      <c r="I10" s="211"/>
    </row>
    <row r="11" ht="15.0" customHeight="1">
      <c r="B11" s="212">
        <v>45494.0</v>
      </c>
      <c r="C11" s="205" t="s">
        <v>245</v>
      </c>
      <c r="D11" s="205" t="s">
        <v>57</v>
      </c>
      <c r="E11" s="205" t="s">
        <v>731</v>
      </c>
      <c r="F11" s="204"/>
      <c r="G11" s="205" t="s">
        <v>174</v>
      </c>
      <c r="H11" s="205" t="s">
        <v>57</v>
      </c>
      <c r="I11" s="206" t="s">
        <v>732</v>
      </c>
    </row>
    <row r="12" ht="15.0" customHeight="1">
      <c r="B12" s="203"/>
      <c r="C12" s="204"/>
      <c r="D12" s="205" t="s">
        <v>55</v>
      </c>
      <c r="E12" s="205" t="s">
        <v>311</v>
      </c>
      <c r="F12" s="204"/>
      <c r="G12" s="204"/>
      <c r="H12" s="205" t="s">
        <v>57</v>
      </c>
      <c r="I12" s="206" t="s">
        <v>733</v>
      </c>
    </row>
    <row r="13" ht="15.0" customHeight="1">
      <c r="B13" s="203"/>
      <c r="C13" s="204"/>
      <c r="D13" s="205" t="s">
        <v>46</v>
      </c>
      <c r="E13" s="205" t="s">
        <v>734</v>
      </c>
      <c r="F13" s="204"/>
      <c r="G13" s="204"/>
      <c r="H13" s="205" t="s">
        <v>55</v>
      </c>
      <c r="I13" s="206" t="s">
        <v>83</v>
      </c>
    </row>
    <row r="14" ht="15.0" customHeight="1">
      <c r="B14" s="210"/>
      <c r="I14" s="211"/>
    </row>
    <row r="15" ht="15.0" customHeight="1">
      <c r="B15" s="212">
        <v>45495.0</v>
      </c>
      <c r="C15" s="205" t="s">
        <v>100</v>
      </c>
      <c r="D15" s="205" t="s">
        <v>51</v>
      </c>
      <c r="E15" s="205" t="s">
        <v>281</v>
      </c>
      <c r="F15" s="204"/>
      <c r="G15" s="205" t="s">
        <v>125</v>
      </c>
      <c r="H15" s="205" t="s">
        <v>57</v>
      </c>
      <c r="I15" s="206" t="s">
        <v>735</v>
      </c>
    </row>
    <row r="16" ht="15.0" customHeight="1">
      <c r="B16" s="210"/>
      <c r="I16" s="211"/>
    </row>
    <row r="17" ht="15.0" customHeight="1">
      <c r="B17" s="212">
        <v>45506.0</v>
      </c>
      <c r="C17" s="205" t="s">
        <v>269</v>
      </c>
      <c r="D17" s="205" t="s">
        <v>51</v>
      </c>
      <c r="E17" s="205" t="s">
        <v>294</v>
      </c>
      <c r="F17" s="204"/>
      <c r="G17" s="205" t="s">
        <v>297</v>
      </c>
      <c r="H17" s="205" t="s">
        <v>51</v>
      </c>
      <c r="I17" s="206" t="s">
        <v>736</v>
      </c>
      <c r="P17" s="213" t="s">
        <v>448</v>
      </c>
      <c r="Q17" s="213" t="s">
        <v>737</v>
      </c>
      <c r="R17" s="213" t="s">
        <v>738</v>
      </c>
      <c r="S17" s="213" t="s">
        <v>739</v>
      </c>
      <c r="T17" s="213" t="s">
        <v>740</v>
      </c>
      <c r="U17" s="213" t="s">
        <v>741</v>
      </c>
      <c r="V17" s="213" t="s">
        <v>742</v>
      </c>
      <c r="W17" s="213" t="s">
        <v>743</v>
      </c>
    </row>
    <row r="18" ht="15.0" customHeight="1">
      <c r="B18" s="203"/>
      <c r="C18" s="204"/>
      <c r="D18" s="205" t="s">
        <v>46</v>
      </c>
      <c r="E18" s="205" t="s">
        <v>279</v>
      </c>
      <c r="F18" s="204"/>
      <c r="G18" s="204"/>
      <c r="H18" s="205" t="s">
        <v>57</v>
      </c>
      <c r="I18" s="206" t="s">
        <v>744</v>
      </c>
      <c r="P18" s="171" t="s">
        <v>745</v>
      </c>
      <c r="Q18" s="171" t="s">
        <v>746</v>
      </c>
      <c r="R18" s="171" t="s">
        <v>747</v>
      </c>
      <c r="S18" s="171" t="s">
        <v>748</v>
      </c>
      <c r="T18" s="171" t="s">
        <v>746</v>
      </c>
      <c r="U18" s="171" t="s">
        <v>747</v>
      </c>
      <c r="V18" s="171" t="s">
        <v>748</v>
      </c>
      <c r="W18" s="171" t="s">
        <v>749</v>
      </c>
    </row>
    <row r="19" ht="15.0" customHeight="1">
      <c r="B19" s="203"/>
      <c r="C19" s="204"/>
      <c r="D19" s="205" t="s">
        <v>57</v>
      </c>
      <c r="E19" s="205" t="s">
        <v>750</v>
      </c>
      <c r="F19" s="204"/>
      <c r="G19" s="204"/>
      <c r="H19" s="205"/>
      <c r="I19" s="206"/>
      <c r="P19" s="214">
        <v>45525.0</v>
      </c>
      <c r="Q19" s="171" t="s">
        <v>100</v>
      </c>
      <c r="R19" s="171" t="s">
        <v>346</v>
      </c>
      <c r="S19" s="171" t="s">
        <v>51</v>
      </c>
      <c r="T19" s="171" t="s">
        <v>297</v>
      </c>
      <c r="U19" s="171" t="s">
        <v>751</v>
      </c>
    </row>
    <row r="20" ht="15.0" customHeight="1">
      <c r="B20" s="210"/>
      <c r="I20" s="211"/>
    </row>
    <row r="21" ht="15.0" customHeight="1">
      <c r="B21" s="212">
        <v>45507.0</v>
      </c>
      <c r="C21" s="205" t="s">
        <v>79</v>
      </c>
      <c r="D21" s="205" t="s">
        <v>55</v>
      </c>
      <c r="E21" s="205" t="s">
        <v>86</v>
      </c>
      <c r="F21" s="204"/>
      <c r="G21" s="205" t="s">
        <v>221</v>
      </c>
      <c r="H21" s="205" t="s">
        <v>51</v>
      </c>
      <c r="I21" s="206" t="s">
        <v>101</v>
      </c>
    </row>
    <row r="22" ht="15.0" customHeight="1">
      <c r="B22" s="203"/>
      <c r="C22" s="204"/>
      <c r="D22" s="205" t="s">
        <v>46</v>
      </c>
      <c r="E22" s="205" t="s">
        <v>78</v>
      </c>
      <c r="F22" s="204"/>
      <c r="G22" s="204"/>
      <c r="H22" s="205" t="s">
        <v>46</v>
      </c>
      <c r="I22" s="206" t="s">
        <v>246</v>
      </c>
    </row>
    <row r="23" ht="15.0" customHeight="1">
      <c r="B23" s="203"/>
      <c r="C23" s="204"/>
      <c r="D23" s="204"/>
      <c r="E23" s="204"/>
      <c r="F23" s="204"/>
      <c r="G23" s="204"/>
      <c r="H23" s="205" t="s">
        <v>57</v>
      </c>
      <c r="I23" s="206" t="s">
        <v>752</v>
      </c>
    </row>
    <row r="24" ht="15.0" customHeight="1">
      <c r="B24" s="210"/>
      <c r="I24" s="211"/>
    </row>
    <row r="25" ht="15.0" customHeight="1">
      <c r="B25" s="212">
        <v>45508.0</v>
      </c>
      <c r="C25" s="205" t="s">
        <v>79</v>
      </c>
      <c r="D25" s="205" t="s">
        <v>46</v>
      </c>
      <c r="E25" s="205" t="s">
        <v>753</v>
      </c>
      <c r="F25" s="204"/>
      <c r="G25" s="205" t="s">
        <v>125</v>
      </c>
      <c r="H25" s="205" t="s">
        <v>51</v>
      </c>
      <c r="I25" s="206" t="s">
        <v>383</v>
      </c>
    </row>
    <row r="26" ht="15.0" customHeight="1">
      <c r="B26" s="210"/>
      <c r="I26" s="211"/>
    </row>
    <row r="27" ht="15.0" customHeight="1">
      <c r="B27" s="212">
        <v>45508.0</v>
      </c>
      <c r="C27" s="205" t="s">
        <v>199</v>
      </c>
      <c r="D27" s="205" t="s">
        <v>51</v>
      </c>
      <c r="E27" s="205" t="s">
        <v>352</v>
      </c>
      <c r="F27" s="204"/>
      <c r="G27" s="205" t="s">
        <v>125</v>
      </c>
      <c r="H27" s="205" t="s">
        <v>57</v>
      </c>
      <c r="I27" s="206" t="s">
        <v>754</v>
      </c>
    </row>
    <row r="28" ht="15.0" customHeight="1">
      <c r="B28" s="203"/>
      <c r="C28" s="204"/>
      <c r="D28" s="204"/>
      <c r="E28" s="204"/>
      <c r="F28" s="204"/>
      <c r="G28" s="204"/>
      <c r="H28" s="205" t="s">
        <v>55</v>
      </c>
      <c r="I28" s="206" t="s">
        <v>379</v>
      </c>
    </row>
    <row r="29" ht="15.0" customHeight="1">
      <c r="B29" s="210"/>
      <c r="I29" s="211"/>
    </row>
    <row r="30" ht="15.0" customHeight="1">
      <c r="B30" s="212">
        <v>45513.0</v>
      </c>
      <c r="C30" s="205" t="s">
        <v>245</v>
      </c>
      <c r="D30" s="205" t="s">
        <v>55</v>
      </c>
      <c r="E30" s="205" t="s">
        <v>129</v>
      </c>
      <c r="F30" s="204"/>
      <c r="G30" s="205" t="s">
        <v>125</v>
      </c>
      <c r="H30" s="205" t="s">
        <v>55</v>
      </c>
      <c r="I30" s="206" t="s">
        <v>311</v>
      </c>
    </row>
    <row r="31" ht="15.0" customHeight="1">
      <c r="B31" s="210"/>
      <c r="I31" s="211"/>
    </row>
    <row r="32" ht="15.0" customHeight="1">
      <c r="B32" s="212">
        <v>45525.0</v>
      </c>
      <c r="C32" s="205" t="s">
        <v>100</v>
      </c>
      <c r="D32" s="205" t="s">
        <v>51</v>
      </c>
      <c r="E32" s="205" t="s">
        <v>346</v>
      </c>
      <c r="F32" s="204"/>
      <c r="G32" s="205" t="s">
        <v>297</v>
      </c>
      <c r="H32" s="205" t="s">
        <v>57</v>
      </c>
      <c r="I32" s="206" t="s">
        <v>755</v>
      </c>
    </row>
    <row r="33" ht="15.0" customHeight="1">
      <c r="B33" s="203"/>
      <c r="C33" s="204"/>
      <c r="D33" s="204"/>
      <c r="E33" s="204"/>
      <c r="F33" s="204"/>
      <c r="G33" s="204"/>
      <c r="H33" s="205" t="s">
        <v>60</v>
      </c>
      <c r="I33" s="206" t="s">
        <v>756</v>
      </c>
    </row>
    <row r="34" ht="15.0" customHeight="1">
      <c r="B34" s="210"/>
      <c r="I34" s="211"/>
    </row>
    <row r="35" ht="15.0" customHeight="1">
      <c r="B35" s="212">
        <v>45532.0</v>
      </c>
      <c r="C35" s="205" t="s">
        <v>297</v>
      </c>
      <c r="D35" s="205" t="s">
        <v>51</v>
      </c>
      <c r="E35" s="205" t="s">
        <v>314</v>
      </c>
      <c r="F35" s="204"/>
      <c r="G35" s="205" t="s">
        <v>174</v>
      </c>
      <c r="H35" s="205" t="s">
        <v>55</v>
      </c>
      <c r="I35" s="206" t="s">
        <v>226</v>
      </c>
    </row>
    <row r="36" ht="15.0" customHeight="1">
      <c r="B36" s="203"/>
      <c r="C36" s="204"/>
      <c r="D36" s="205" t="s">
        <v>46</v>
      </c>
      <c r="E36" s="205" t="s">
        <v>300</v>
      </c>
      <c r="F36" s="204"/>
      <c r="G36" s="204"/>
      <c r="H36" s="205" t="s">
        <v>46</v>
      </c>
      <c r="I36" s="206" t="s">
        <v>308</v>
      </c>
    </row>
    <row r="37" ht="15.0" customHeight="1">
      <c r="B37" s="203"/>
      <c r="C37" s="204"/>
      <c r="D37" s="205" t="s">
        <v>51</v>
      </c>
      <c r="E37" s="205" t="s">
        <v>364</v>
      </c>
      <c r="F37" s="204"/>
      <c r="G37" s="204"/>
      <c r="H37" s="205" t="s">
        <v>51</v>
      </c>
      <c r="I37" s="206" t="s">
        <v>757</v>
      </c>
    </row>
    <row r="38" ht="15.0" customHeight="1">
      <c r="B38" s="210"/>
      <c r="I38" s="211"/>
    </row>
    <row r="39" ht="15.0" customHeight="1">
      <c r="B39" s="203"/>
      <c r="C39" s="204"/>
      <c r="D39" s="204"/>
      <c r="E39" s="204"/>
      <c r="F39" s="204"/>
      <c r="G39" s="204"/>
      <c r="H39" s="204"/>
      <c r="I39" s="208"/>
    </row>
    <row r="40" ht="15.0" customHeight="1">
      <c r="B40" s="203"/>
      <c r="C40" s="204"/>
      <c r="D40" s="204"/>
      <c r="E40" s="204"/>
      <c r="F40" s="204"/>
      <c r="G40" s="204"/>
      <c r="H40" s="204"/>
      <c r="I40" s="208"/>
    </row>
    <row r="41" ht="15.0" customHeight="1">
      <c r="B41" s="203"/>
      <c r="C41" s="204"/>
      <c r="D41" s="204"/>
      <c r="E41" s="204"/>
      <c r="F41" s="204"/>
      <c r="G41" s="204"/>
      <c r="H41" s="204"/>
      <c r="I41" s="208"/>
    </row>
    <row r="42" ht="15.0" customHeight="1">
      <c r="B42" s="203"/>
      <c r="C42" s="204"/>
      <c r="D42" s="204"/>
      <c r="E42" s="204"/>
      <c r="F42" s="204"/>
      <c r="G42" s="204"/>
      <c r="H42" s="204"/>
      <c r="I42" s="208"/>
    </row>
    <row r="43" ht="15.0" customHeight="1">
      <c r="B43" s="203"/>
      <c r="C43" s="204"/>
      <c r="D43" s="204"/>
      <c r="E43" s="204"/>
      <c r="F43" s="204"/>
      <c r="G43" s="204"/>
      <c r="H43" s="204"/>
      <c r="I43" s="208"/>
    </row>
    <row r="44" ht="15.0" customHeight="1">
      <c r="B44" s="203"/>
      <c r="C44" s="204"/>
      <c r="D44" s="204"/>
      <c r="E44" s="204"/>
      <c r="F44" s="204"/>
      <c r="G44" s="204"/>
      <c r="H44" s="204"/>
      <c r="I44" s="208"/>
    </row>
    <row r="45" ht="15.0" customHeight="1">
      <c r="B45" s="203"/>
      <c r="C45" s="204"/>
      <c r="D45" s="204"/>
      <c r="E45" s="204"/>
      <c r="F45" s="204"/>
      <c r="G45" s="204"/>
      <c r="H45" s="204"/>
      <c r="I45" s="208"/>
    </row>
    <row r="46" ht="15.0" customHeight="1">
      <c r="B46" s="203"/>
      <c r="C46" s="204"/>
      <c r="D46" s="204"/>
      <c r="E46" s="204"/>
      <c r="F46" s="204"/>
      <c r="G46" s="204"/>
      <c r="H46" s="204"/>
      <c r="I46" s="208"/>
    </row>
    <row r="47" ht="15.0" customHeight="1">
      <c r="B47" s="203"/>
      <c r="C47" s="204"/>
      <c r="D47" s="204"/>
      <c r="E47" s="204"/>
      <c r="F47" s="204"/>
      <c r="G47" s="204"/>
      <c r="H47" s="204"/>
      <c r="I47" s="208"/>
    </row>
    <row r="48" ht="15.0" customHeight="1">
      <c r="B48" s="203"/>
      <c r="C48" s="204"/>
      <c r="D48" s="204"/>
      <c r="E48" s="204"/>
      <c r="F48" s="204"/>
      <c r="G48" s="204"/>
      <c r="H48" s="204"/>
      <c r="I48" s="208"/>
    </row>
    <row r="49" ht="15.0" customHeight="1">
      <c r="B49" s="203"/>
      <c r="C49" s="204"/>
      <c r="D49" s="204"/>
      <c r="E49" s="204"/>
      <c r="F49" s="204"/>
      <c r="G49" s="204"/>
      <c r="H49" s="204"/>
      <c r="I49" s="208"/>
    </row>
    <row r="50" ht="15.0" customHeight="1">
      <c r="B50" s="203"/>
      <c r="C50" s="204"/>
      <c r="D50" s="204"/>
      <c r="E50" s="204"/>
      <c r="F50" s="204"/>
      <c r="G50" s="204"/>
      <c r="H50" s="204"/>
      <c r="I50" s="208"/>
    </row>
    <row r="51" ht="15.0" customHeight="1">
      <c r="B51" s="203"/>
      <c r="C51" s="204"/>
      <c r="D51" s="204"/>
      <c r="E51" s="204"/>
      <c r="F51" s="204"/>
      <c r="G51" s="204"/>
      <c r="H51" s="204"/>
      <c r="I51" s="208"/>
    </row>
    <row r="52" ht="15.0" customHeight="1">
      <c r="B52" s="203"/>
      <c r="C52" s="204"/>
      <c r="D52" s="204"/>
      <c r="E52" s="204"/>
      <c r="F52" s="204"/>
      <c r="G52" s="204"/>
      <c r="H52" s="204"/>
      <c r="I52" s="208"/>
    </row>
    <row r="53" ht="15.0" customHeight="1">
      <c r="B53" s="203"/>
      <c r="C53" s="204"/>
      <c r="D53" s="204"/>
      <c r="E53" s="204"/>
      <c r="F53" s="204"/>
      <c r="G53" s="204"/>
      <c r="H53" s="204"/>
      <c r="I53" s="208"/>
    </row>
    <row r="54" ht="15.0" customHeight="1">
      <c r="B54" s="203"/>
      <c r="C54" s="204"/>
      <c r="D54" s="204"/>
      <c r="E54" s="204"/>
      <c r="F54" s="204"/>
      <c r="G54" s="204"/>
      <c r="H54" s="204"/>
      <c r="I54" s="208"/>
    </row>
    <row r="55" ht="15.0" customHeight="1">
      <c r="B55" s="203"/>
      <c r="C55" s="204"/>
      <c r="D55" s="204"/>
      <c r="E55" s="204"/>
      <c r="F55" s="204"/>
      <c r="G55" s="204"/>
      <c r="H55" s="204"/>
      <c r="I55" s="208"/>
    </row>
    <row r="56" ht="15.0" customHeight="1">
      <c r="B56" s="203"/>
      <c r="C56" s="204"/>
      <c r="D56" s="204"/>
      <c r="E56" s="204"/>
      <c r="F56" s="204"/>
      <c r="G56" s="204"/>
      <c r="H56" s="204"/>
      <c r="I56" s="208"/>
    </row>
    <row r="57" ht="15.0" customHeight="1">
      <c r="B57" s="203"/>
      <c r="C57" s="204"/>
      <c r="D57" s="204"/>
      <c r="E57" s="204"/>
      <c r="F57" s="204"/>
      <c r="G57" s="204"/>
      <c r="H57" s="204"/>
      <c r="I57" s="208"/>
    </row>
    <row r="58" ht="15.0" customHeight="1">
      <c r="B58" s="203"/>
      <c r="C58" s="204"/>
      <c r="D58" s="204"/>
      <c r="E58" s="204"/>
      <c r="F58" s="204"/>
      <c r="G58" s="204"/>
      <c r="H58" s="204"/>
      <c r="I58" s="208"/>
    </row>
    <row r="59" ht="15.0" customHeight="1">
      <c r="B59" s="203"/>
      <c r="C59" s="204"/>
      <c r="D59" s="204"/>
      <c r="E59" s="204"/>
      <c r="F59" s="204"/>
      <c r="G59" s="204"/>
      <c r="H59" s="204"/>
      <c r="I59" s="208"/>
    </row>
    <row r="60" ht="15.0" customHeight="1">
      <c r="B60" s="203"/>
      <c r="C60" s="204"/>
      <c r="D60" s="204"/>
      <c r="E60" s="204"/>
      <c r="F60" s="204"/>
      <c r="G60" s="204"/>
      <c r="H60" s="204"/>
      <c r="I60" s="208"/>
    </row>
    <row r="61">
      <c r="B61" s="203"/>
      <c r="C61" s="204"/>
      <c r="D61" s="204"/>
      <c r="E61" s="204"/>
      <c r="F61" s="204"/>
      <c r="G61" s="204"/>
      <c r="H61" s="204"/>
      <c r="I61" s="208"/>
    </row>
    <row r="62">
      <c r="B62" s="203"/>
      <c r="C62" s="204"/>
      <c r="D62" s="204"/>
      <c r="E62" s="204"/>
      <c r="F62" s="204"/>
      <c r="G62" s="204"/>
      <c r="H62" s="204"/>
      <c r="I62" s="208"/>
    </row>
    <row r="63">
      <c r="B63" s="203"/>
      <c r="C63" s="204"/>
      <c r="D63" s="204"/>
      <c r="E63" s="204"/>
      <c r="F63" s="204"/>
      <c r="G63" s="204"/>
      <c r="H63" s="204"/>
      <c r="I63" s="208"/>
    </row>
    <row r="64">
      <c r="B64" s="203"/>
      <c r="C64" s="204"/>
      <c r="D64" s="204"/>
      <c r="E64" s="204"/>
      <c r="F64" s="204"/>
      <c r="G64" s="204"/>
      <c r="H64" s="204"/>
      <c r="I64" s="208"/>
    </row>
    <row r="65">
      <c r="B65" s="203"/>
      <c r="C65" s="204"/>
      <c r="D65" s="204"/>
      <c r="E65" s="204"/>
      <c r="F65" s="204"/>
      <c r="G65" s="204"/>
      <c r="H65" s="204"/>
      <c r="I65" s="208"/>
    </row>
    <row r="66">
      <c r="B66" s="203"/>
      <c r="C66" s="204"/>
      <c r="D66" s="204"/>
      <c r="E66" s="204"/>
      <c r="F66" s="204"/>
      <c r="G66" s="204"/>
      <c r="H66" s="204"/>
      <c r="I66" s="208"/>
    </row>
    <row r="67">
      <c r="B67" s="203"/>
      <c r="C67" s="204"/>
      <c r="D67" s="204"/>
      <c r="E67" s="204"/>
      <c r="F67" s="204"/>
      <c r="G67" s="204"/>
      <c r="H67" s="204"/>
      <c r="I67" s="208"/>
    </row>
    <row r="68">
      <c r="B68" s="203"/>
      <c r="C68" s="204"/>
      <c r="D68" s="204"/>
      <c r="E68" s="204"/>
      <c r="F68" s="204"/>
      <c r="G68" s="204"/>
      <c r="H68" s="204"/>
      <c r="I68" s="208"/>
    </row>
    <row r="69">
      <c r="B69" s="203"/>
      <c r="C69" s="204"/>
      <c r="D69" s="204"/>
      <c r="E69" s="204"/>
      <c r="F69" s="204"/>
      <c r="G69" s="204"/>
      <c r="H69" s="204"/>
      <c r="I69" s="208"/>
    </row>
    <row r="70">
      <c r="B70" s="203"/>
      <c r="C70" s="204"/>
      <c r="D70" s="204"/>
      <c r="E70" s="204"/>
      <c r="F70" s="204"/>
      <c r="G70" s="204"/>
      <c r="H70" s="204"/>
      <c r="I70" s="208"/>
    </row>
    <row r="71">
      <c r="B71" s="203"/>
      <c r="C71" s="204"/>
      <c r="D71" s="204"/>
      <c r="E71" s="204"/>
      <c r="F71" s="204"/>
      <c r="G71" s="204"/>
      <c r="H71" s="204"/>
      <c r="I71" s="208"/>
    </row>
    <row r="72">
      <c r="B72" s="203"/>
      <c r="C72" s="204"/>
      <c r="D72" s="204"/>
      <c r="E72" s="204"/>
      <c r="F72" s="204"/>
      <c r="G72" s="204"/>
      <c r="H72" s="204"/>
      <c r="I72" s="208"/>
    </row>
    <row r="73">
      <c r="B73" s="203"/>
      <c r="C73" s="204"/>
      <c r="D73" s="204"/>
      <c r="E73" s="204"/>
      <c r="F73" s="204"/>
      <c r="G73" s="204"/>
      <c r="H73" s="204"/>
      <c r="I73" s="208"/>
    </row>
    <row r="74">
      <c r="B74" s="203"/>
      <c r="C74" s="204"/>
      <c r="D74" s="204"/>
      <c r="E74" s="204"/>
      <c r="F74" s="204"/>
      <c r="G74" s="204"/>
      <c r="H74" s="204"/>
      <c r="I74" s="208"/>
    </row>
    <row r="75">
      <c r="B75" s="203"/>
      <c r="C75" s="204"/>
      <c r="D75" s="204"/>
      <c r="E75" s="204"/>
      <c r="F75" s="204"/>
      <c r="G75" s="204"/>
      <c r="H75" s="204"/>
      <c r="I75" s="208"/>
    </row>
    <row r="76">
      <c r="B76" s="203"/>
      <c r="C76" s="204"/>
      <c r="D76" s="204"/>
      <c r="E76" s="204"/>
      <c r="F76" s="204"/>
      <c r="G76" s="204"/>
      <c r="H76" s="204"/>
      <c r="I76" s="208"/>
    </row>
    <row r="77">
      <c r="B77" s="203"/>
      <c r="C77" s="204"/>
      <c r="D77" s="204"/>
      <c r="E77" s="204"/>
      <c r="F77" s="204"/>
      <c r="G77" s="204"/>
      <c r="H77" s="204"/>
      <c r="I77" s="208"/>
    </row>
    <row r="78">
      <c r="B78" s="203"/>
      <c r="C78" s="204"/>
      <c r="D78" s="204"/>
      <c r="E78" s="204"/>
      <c r="F78" s="204"/>
      <c r="G78" s="204"/>
      <c r="H78" s="204"/>
      <c r="I78" s="208"/>
    </row>
    <row r="79">
      <c r="B79" s="203"/>
      <c r="C79" s="204"/>
      <c r="D79" s="204"/>
      <c r="E79" s="204"/>
      <c r="F79" s="204"/>
      <c r="G79" s="204"/>
      <c r="H79" s="204"/>
      <c r="I79" s="208"/>
    </row>
    <row r="80">
      <c r="B80" s="203"/>
      <c r="C80" s="204"/>
      <c r="D80" s="204"/>
      <c r="E80" s="204"/>
      <c r="F80" s="204"/>
      <c r="G80" s="204"/>
      <c r="H80" s="204"/>
      <c r="I80" s="208"/>
    </row>
    <row r="81">
      <c r="B81" s="203"/>
      <c r="C81" s="204"/>
      <c r="D81" s="204"/>
      <c r="E81" s="204"/>
      <c r="F81" s="204"/>
      <c r="G81" s="204"/>
      <c r="H81" s="204"/>
      <c r="I81" s="208"/>
    </row>
    <row r="82">
      <c r="B82" s="203"/>
      <c r="C82" s="204"/>
      <c r="D82" s="204"/>
      <c r="E82" s="204"/>
      <c r="F82" s="204"/>
      <c r="G82" s="204"/>
      <c r="H82" s="204"/>
      <c r="I82" s="208"/>
    </row>
    <row r="83">
      <c r="B83" s="203"/>
      <c r="C83" s="204"/>
      <c r="D83" s="204"/>
      <c r="E83" s="204"/>
      <c r="F83" s="204"/>
      <c r="G83" s="204"/>
      <c r="H83" s="204"/>
      <c r="I83" s="208"/>
    </row>
    <row r="84">
      <c r="B84" s="203"/>
      <c r="C84" s="204"/>
      <c r="D84" s="204"/>
      <c r="E84" s="204"/>
      <c r="F84" s="204"/>
      <c r="G84" s="204"/>
      <c r="H84" s="204"/>
      <c r="I84" s="208"/>
    </row>
    <row r="85">
      <c r="B85" s="203"/>
      <c r="C85" s="204"/>
      <c r="D85" s="204"/>
      <c r="E85" s="204"/>
      <c r="F85" s="204"/>
      <c r="G85" s="204"/>
      <c r="H85" s="204"/>
      <c r="I85" s="208"/>
    </row>
    <row r="86">
      <c r="B86" s="203"/>
      <c r="C86" s="204"/>
      <c r="D86" s="204"/>
      <c r="E86" s="204"/>
      <c r="F86" s="204"/>
      <c r="G86" s="204"/>
      <c r="H86" s="204"/>
      <c r="I86" s="208"/>
    </row>
    <row r="87">
      <c r="B87" s="203"/>
      <c r="C87" s="204"/>
      <c r="D87" s="204"/>
      <c r="E87" s="204"/>
      <c r="F87" s="204"/>
      <c r="G87" s="204"/>
      <c r="H87" s="204"/>
      <c r="I87" s="208"/>
    </row>
    <row r="88">
      <c r="B88" s="203"/>
      <c r="C88" s="204"/>
      <c r="D88" s="204"/>
      <c r="E88" s="204"/>
      <c r="F88" s="204"/>
      <c r="G88" s="204"/>
      <c r="H88" s="204"/>
      <c r="I88" s="208"/>
    </row>
    <row r="89">
      <c r="B89" s="203"/>
      <c r="C89" s="204"/>
      <c r="D89" s="204"/>
      <c r="E89" s="204"/>
      <c r="F89" s="204"/>
      <c r="G89" s="204"/>
      <c r="H89" s="204"/>
      <c r="I89" s="208"/>
    </row>
    <row r="90">
      <c r="B90" s="203"/>
      <c r="C90" s="204"/>
      <c r="D90" s="204"/>
      <c r="E90" s="204"/>
      <c r="F90" s="204"/>
      <c r="G90" s="204"/>
      <c r="H90" s="204"/>
      <c r="I90" s="208"/>
    </row>
    <row r="91">
      <c r="B91" s="203"/>
      <c r="C91" s="204"/>
      <c r="D91" s="204"/>
      <c r="E91" s="204"/>
      <c r="F91" s="204"/>
      <c r="G91" s="204"/>
      <c r="H91" s="204"/>
      <c r="I91" s="208"/>
    </row>
    <row r="92">
      <c r="B92" s="203"/>
      <c r="C92" s="204"/>
      <c r="D92" s="204"/>
      <c r="E92" s="204"/>
      <c r="F92" s="204"/>
      <c r="G92" s="204"/>
      <c r="H92" s="204"/>
      <c r="I92" s="208"/>
    </row>
    <row r="93">
      <c r="B93" s="203"/>
      <c r="C93" s="204"/>
      <c r="D93" s="204"/>
      <c r="E93" s="204"/>
      <c r="F93" s="204"/>
      <c r="G93" s="204"/>
      <c r="H93" s="204"/>
      <c r="I93" s="208"/>
    </row>
    <row r="94">
      <c r="B94" s="203"/>
      <c r="C94" s="204"/>
      <c r="D94" s="204"/>
      <c r="E94" s="204"/>
      <c r="F94" s="204"/>
      <c r="G94" s="204"/>
      <c r="H94" s="204"/>
      <c r="I94" s="208"/>
    </row>
    <row r="95">
      <c r="B95" s="203"/>
      <c r="C95" s="204"/>
      <c r="D95" s="204"/>
      <c r="E95" s="204"/>
      <c r="F95" s="204"/>
      <c r="G95" s="204"/>
      <c r="H95" s="204"/>
      <c r="I95" s="208"/>
    </row>
    <row r="96">
      <c r="B96" s="203"/>
      <c r="C96" s="204"/>
      <c r="D96" s="204"/>
      <c r="E96" s="204"/>
      <c r="F96" s="204"/>
      <c r="G96" s="204"/>
      <c r="H96" s="204"/>
      <c r="I96" s="208"/>
    </row>
    <row r="97">
      <c r="B97" s="203"/>
      <c r="C97" s="204"/>
      <c r="D97" s="204"/>
      <c r="E97" s="204"/>
      <c r="F97" s="204"/>
      <c r="G97" s="204"/>
      <c r="H97" s="204"/>
      <c r="I97" s="208"/>
    </row>
    <row r="98">
      <c r="B98" s="203"/>
      <c r="C98" s="204"/>
      <c r="D98" s="204"/>
      <c r="E98" s="204"/>
      <c r="F98" s="204"/>
      <c r="G98" s="204"/>
      <c r="H98" s="204"/>
      <c r="I98" s="208"/>
    </row>
    <row r="99">
      <c r="B99" s="203"/>
      <c r="C99" s="204"/>
      <c r="D99" s="204"/>
      <c r="E99" s="204"/>
      <c r="F99" s="204"/>
      <c r="G99" s="204"/>
      <c r="H99" s="204"/>
      <c r="I99" s="208"/>
    </row>
    <row r="100">
      <c r="B100" s="203"/>
      <c r="C100" s="204"/>
      <c r="D100" s="204"/>
      <c r="E100" s="204"/>
      <c r="F100" s="204"/>
      <c r="G100" s="204"/>
      <c r="H100" s="204"/>
      <c r="I100" s="208"/>
    </row>
    <row r="101">
      <c r="B101" s="203"/>
      <c r="C101" s="204"/>
      <c r="D101" s="204"/>
      <c r="E101" s="204"/>
      <c r="F101" s="204"/>
      <c r="G101" s="204"/>
      <c r="H101" s="204"/>
      <c r="I101" s="208"/>
    </row>
    <row r="102">
      <c r="B102" s="203"/>
      <c r="C102" s="204"/>
      <c r="D102" s="204"/>
      <c r="E102" s="204"/>
      <c r="F102" s="204"/>
      <c r="G102" s="204"/>
      <c r="H102" s="204"/>
      <c r="I102" s="208"/>
    </row>
    <row r="103">
      <c r="B103" s="203"/>
      <c r="C103" s="204"/>
      <c r="D103" s="204"/>
      <c r="E103" s="204"/>
      <c r="F103" s="204"/>
      <c r="G103" s="204"/>
      <c r="H103" s="204"/>
      <c r="I103" s="208"/>
    </row>
    <row r="104">
      <c r="B104" s="203"/>
      <c r="C104" s="204"/>
      <c r="D104" s="204"/>
      <c r="E104" s="204"/>
      <c r="F104" s="204"/>
      <c r="G104" s="204"/>
      <c r="H104" s="204"/>
      <c r="I104" s="208"/>
    </row>
    <row r="105">
      <c r="B105" s="203"/>
      <c r="C105" s="204"/>
      <c r="D105" s="204"/>
      <c r="E105" s="204"/>
      <c r="F105" s="204"/>
      <c r="G105" s="204"/>
      <c r="H105" s="204"/>
      <c r="I105" s="208"/>
    </row>
    <row r="106">
      <c r="B106" s="203"/>
      <c r="C106" s="204"/>
      <c r="D106" s="204"/>
      <c r="E106" s="204"/>
      <c r="F106" s="204"/>
      <c r="G106" s="204"/>
      <c r="H106" s="204"/>
      <c r="I106" s="208"/>
    </row>
    <row r="107">
      <c r="B107" s="203"/>
      <c r="C107" s="204"/>
      <c r="D107" s="204"/>
      <c r="E107" s="204"/>
      <c r="F107" s="204"/>
      <c r="G107" s="204"/>
      <c r="H107" s="204"/>
      <c r="I107" s="208"/>
    </row>
    <row r="108">
      <c r="B108" s="203"/>
      <c r="C108" s="204"/>
      <c r="D108" s="204"/>
      <c r="E108" s="204"/>
      <c r="F108" s="204"/>
      <c r="G108" s="204"/>
      <c r="H108" s="204"/>
      <c r="I108" s="208"/>
    </row>
    <row r="109">
      <c r="B109" s="203"/>
      <c r="C109" s="204"/>
      <c r="D109" s="204"/>
      <c r="E109" s="204"/>
      <c r="F109" s="204"/>
      <c r="G109" s="204"/>
      <c r="H109" s="204"/>
      <c r="I109" s="208"/>
    </row>
    <row r="110">
      <c r="B110" s="203"/>
      <c r="C110" s="204"/>
      <c r="D110" s="204"/>
      <c r="E110" s="204"/>
      <c r="F110" s="204"/>
      <c r="G110" s="204"/>
      <c r="H110" s="204"/>
      <c r="I110" s="208"/>
    </row>
    <row r="111">
      <c r="B111" s="203"/>
      <c r="C111" s="204"/>
      <c r="D111" s="204"/>
      <c r="E111" s="204"/>
      <c r="F111" s="204"/>
      <c r="G111" s="204"/>
      <c r="H111" s="204"/>
      <c r="I111" s="208"/>
    </row>
    <row r="112">
      <c r="B112" s="203"/>
      <c r="C112" s="204"/>
      <c r="D112" s="204"/>
      <c r="E112" s="204"/>
      <c r="F112" s="204"/>
      <c r="G112" s="204"/>
      <c r="H112" s="204"/>
      <c r="I112" s="208"/>
    </row>
    <row r="113">
      <c r="B113" s="203"/>
      <c r="C113" s="204"/>
      <c r="D113" s="204"/>
      <c r="E113" s="204"/>
      <c r="F113" s="204"/>
      <c r="G113" s="204"/>
      <c r="H113" s="204"/>
      <c r="I113" s="208"/>
    </row>
    <row r="114">
      <c r="B114" s="203"/>
      <c r="C114" s="204"/>
      <c r="D114" s="204"/>
      <c r="E114" s="204"/>
      <c r="F114" s="204"/>
      <c r="G114" s="204"/>
      <c r="H114" s="204"/>
      <c r="I114" s="208"/>
    </row>
    <row r="115">
      <c r="B115" s="203"/>
      <c r="C115" s="204"/>
      <c r="D115" s="204"/>
      <c r="E115" s="204"/>
      <c r="F115" s="204"/>
      <c r="G115" s="204"/>
      <c r="H115" s="204"/>
      <c r="I115" s="208"/>
    </row>
    <row r="116">
      <c r="B116" s="203"/>
      <c r="C116" s="204"/>
      <c r="D116" s="204"/>
      <c r="E116" s="204"/>
      <c r="F116" s="204"/>
      <c r="G116" s="204"/>
      <c r="H116" s="204"/>
      <c r="I116" s="208"/>
    </row>
    <row r="117">
      <c r="B117" s="203"/>
      <c r="C117" s="204"/>
      <c r="D117" s="204"/>
      <c r="E117" s="204"/>
      <c r="F117" s="204"/>
      <c r="G117" s="204"/>
      <c r="H117" s="204"/>
      <c r="I117" s="208"/>
    </row>
    <row r="118">
      <c r="B118" s="203"/>
      <c r="C118" s="204"/>
      <c r="D118" s="204"/>
      <c r="E118" s="204"/>
      <c r="F118" s="204"/>
      <c r="G118" s="204"/>
      <c r="H118" s="204"/>
      <c r="I118" s="208"/>
    </row>
    <row r="119">
      <c r="B119" s="203"/>
      <c r="C119" s="204"/>
      <c r="D119" s="204"/>
      <c r="E119" s="204"/>
      <c r="F119" s="204"/>
      <c r="G119" s="204"/>
      <c r="H119" s="204"/>
      <c r="I119" s="208"/>
    </row>
    <row r="120">
      <c r="B120" s="203"/>
      <c r="C120" s="204"/>
      <c r="D120" s="204"/>
      <c r="E120" s="204"/>
      <c r="F120" s="204"/>
      <c r="G120" s="204"/>
      <c r="H120" s="204"/>
      <c r="I120" s="208"/>
    </row>
    <row r="121">
      <c r="B121" s="203"/>
      <c r="C121" s="204"/>
      <c r="D121" s="204"/>
      <c r="E121" s="204"/>
      <c r="F121" s="204"/>
      <c r="G121" s="204"/>
      <c r="H121" s="204"/>
      <c r="I121" s="208"/>
    </row>
    <row r="122">
      <c r="B122" s="203"/>
      <c r="C122" s="204"/>
      <c r="D122" s="204"/>
      <c r="E122" s="204"/>
      <c r="F122" s="204"/>
      <c r="G122" s="204"/>
      <c r="H122" s="204"/>
      <c r="I122" s="208"/>
    </row>
    <row r="123">
      <c r="B123" s="203"/>
      <c r="C123" s="204"/>
      <c r="D123" s="204"/>
      <c r="E123" s="204"/>
      <c r="F123" s="204"/>
      <c r="G123" s="204"/>
      <c r="H123" s="204"/>
      <c r="I123" s="208"/>
    </row>
    <row r="124">
      <c r="B124" s="203"/>
      <c r="C124" s="204"/>
      <c r="D124" s="204"/>
      <c r="E124" s="204"/>
      <c r="F124" s="204"/>
      <c r="G124" s="204"/>
      <c r="H124" s="204"/>
      <c r="I124" s="208"/>
    </row>
    <row r="125">
      <c r="B125" s="203"/>
      <c r="C125" s="204"/>
      <c r="D125" s="204"/>
      <c r="E125" s="204"/>
      <c r="F125" s="204"/>
      <c r="G125" s="204"/>
      <c r="H125" s="204"/>
      <c r="I125" s="208"/>
    </row>
    <row r="126">
      <c r="B126" s="203"/>
      <c r="C126" s="204"/>
      <c r="D126" s="204"/>
      <c r="E126" s="204"/>
      <c r="F126" s="204"/>
      <c r="G126" s="204"/>
      <c r="H126" s="204"/>
      <c r="I126" s="208"/>
    </row>
    <row r="127">
      <c r="B127" s="203"/>
      <c r="C127" s="204"/>
      <c r="D127" s="204"/>
      <c r="E127" s="204"/>
      <c r="F127" s="204"/>
      <c r="G127" s="204"/>
      <c r="H127" s="204"/>
      <c r="I127" s="208"/>
    </row>
    <row r="128">
      <c r="B128" s="215"/>
      <c r="C128" s="216"/>
      <c r="D128" s="216"/>
      <c r="E128" s="216"/>
      <c r="F128" s="216"/>
      <c r="G128" s="216"/>
      <c r="H128" s="216"/>
      <c r="I128" s="217"/>
    </row>
  </sheetData>
  <mergeCells count="11">
    <mergeCell ref="B29:I29"/>
    <mergeCell ref="B31:I31"/>
    <mergeCell ref="B34:I34"/>
    <mergeCell ref="B38:I38"/>
    <mergeCell ref="B7:I7"/>
    <mergeCell ref="B10:I10"/>
    <mergeCell ref="B14:I14"/>
    <mergeCell ref="B16:I16"/>
    <mergeCell ref="B20:I20"/>
    <mergeCell ref="B24:I24"/>
    <mergeCell ref="B26:I2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5.88"/>
    <col customWidth="1" min="2" max="2" width="9.63"/>
    <col customWidth="1" min="3" max="3" width="10.38"/>
    <col customWidth="1" min="4" max="4" width="17.63"/>
    <col customWidth="1" min="5" max="5" width="15.63"/>
    <col customWidth="1" min="6" max="6" width="10.88"/>
    <col customWidth="1" min="7" max="7" width="15.63"/>
    <col customWidth="1" min="8" max="8" width="10.63"/>
    <col customWidth="1" min="9" max="9" width="10.5"/>
    <col customWidth="1" hidden="1" min="10" max="10" width="9.63"/>
    <col customWidth="1" min="11" max="16" width="9.63"/>
  </cols>
  <sheetData>
    <row r="1" hidden="1">
      <c r="G1" s="218"/>
      <c r="H1" s="218"/>
      <c r="I1" s="218"/>
      <c r="J1" s="218"/>
      <c r="K1" s="218"/>
      <c r="L1" s="218"/>
      <c r="M1" s="218"/>
    </row>
    <row r="2" ht="15.0" customHeight="1">
      <c r="C2" s="219" t="s">
        <v>758</v>
      </c>
      <c r="D2" s="220">
        <v>2024.0</v>
      </c>
      <c r="G2" s="218"/>
      <c r="H2" s="218"/>
      <c r="I2" s="218"/>
      <c r="J2" s="218"/>
      <c r="K2" s="218"/>
      <c r="L2" s="218"/>
      <c r="M2" s="218"/>
      <c r="N2" s="221"/>
    </row>
    <row r="3" ht="15.0" hidden="1" customHeight="1">
      <c r="AD3" s="222" t="s">
        <v>55</v>
      </c>
    </row>
    <row r="4" ht="15.0" hidden="1" customHeight="1">
      <c r="B4" s="223" t="s">
        <v>759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6"/>
      <c r="AD4" s="222" t="s">
        <v>51</v>
      </c>
    </row>
    <row r="5" ht="15.0" hidden="1" customHeight="1">
      <c r="B5" s="224" t="s">
        <v>79</v>
      </c>
      <c r="C5" s="225" t="s">
        <v>45</v>
      </c>
      <c r="D5" s="224" t="s">
        <v>100</v>
      </c>
      <c r="E5" s="224"/>
      <c r="F5" s="224" t="s">
        <v>125</v>
      </c>
      <c r="G5" s="224" t="s">
        <v>152</v>
      </c>
      <c r="H5" s="224" t="s">
        <v>174</v>
      </c>
      <c r="I5" s="224" t="s">
        <v>199</v>
      </c>
      <c r="J5" s="224"/>
      <c r="K5" s="224" t="s">
        <v>245</v>
      </c>
      <c r="L5" s="224" t="s">
        <v>297</v>
      </c>
      <c r="M5" s="224" t="s">
        <v>341</v>
      </c>
      <c r="N5" s="225" t="s">
        <v>269</v>
      </c>
      <c r="AD5" s="222" t="s">
        <v>46</v>
      </c>
    </row>
    <row r="6" ht="15.0" hidden="1" customHeight="1">
      <c r="B6" s="226" t="str">
        <f t="shared" ref="B6:D6" si="1">SUMIF($B$10:$I$469,B$5,#REF!)</f>
        <v>#N/A</v>
      </c>
      <c r="C6" s="226" t="str">
        <f t="shared" si="1"/>
        <v>#N/A</v>
      </c>
      <c r="D6" s="226" t="str">
        <f t="shared" si="1"/>
        <v>#N/A</v>
      </c>
      <c r="E6" s="226"/>
      <c r="F6" s="226" t="str">
        <f t="shared" ref="F6:I6" si="2">SUMIF($B$10:$I$469,F$5,#REF!)</f>
        <v>#N/A</v>
      </c>
      <c r="G6" s="226" t="str">
        <f t="shared" si="2"/>
        <v>#N/A</v>
      </c>
      <c r="H6" s="226" t="str">
        <f t="shared" si="2"/>
        <v>#N/A</v>
      </c>
      <c r="I6" s="226" t="str">
        <f t="shared" si="2"/>
        <v>#N/A</v>
      </c>
      <c r="J6" s="226"/>
      <c r="K6" s="226" t="str">
        <f t="shared" ref="K6:N6" si="3">SUMIF($B$10:$I$469,K$5,#REF!)</f>
        <v>#N/A</v>
      </c>
      <c r="L6" s="226" t="str">
        <f t="shared" si="3"/>
        <v>#N/A</v>
      </c>
      <c r="M6" s="226" t="str">
        <f t="shared" si="3"/>
        <v>#N/A</v>
      </c>
      <c r="N6" s="226" t="str">
        <f t="shared" si="3"/>
        <v>#N/A</v>
      </c>
      <c r="AD6" s="222" t="s">
        <v>60</v>
      </c>
    </row>
    <row r="7" ht="15.0" hidden="1" customHeight="1">
      <c r="AD7" s="222" t="s">
        <v>760</v>
      </c>
    </row>
    <row r="8" ht="21.0" customHeight="1">
      <c r="B8" s="227"/>
      <c r="E8" s="222"/>
      <c r="F8" s="222" t="s">
        <v>761</v>
      </c>
      <c r="G8" s="222"/>
      <c r="H8" s="222"/>
      <c r="I8" s="222"/>
      <c r="J8" s="228"/>
      <c r="K8" s="229" t="s">
        <v>40</v>
      </c>
      <c r="L8" s="230"/>
      <c r="M8" s="230"/>
      <c r="N8" s="230"/>
      <c r="O8" s="230"/>
      <c r="P8" s="231"/>
    </row>
    <row r="9">
      <c r="B9" s="224" t="s">
        <v>32</v>
      </c>
      <c r="C9" s="224" t="s">
        <v>33</v>
      </c>
      <c r="D9" s="224" t="s">
        <v>34</v>
      </c>
      <c r="E9" s="232" t="s">
        <v>762</v>
      </c>
      <c r="F9" s="233" t="s">
        <v>763</v>
      </c>
      <c r="G9" s="224" t="s">
        <v>41</v>
      </c>
      <c r="H9" s="224" t="s">
        <v>39</v>
      </c>
      <c r="I9" s="224" t="s">
        <v>40</v>
      </c>
      <c r="J9" s="234"/>
      <c r="K9" s="235">
        <v>1.0</v>
      </c>
      <c r="L9" s="236">
        <v>2.0</v>
      </c>
      <c r="M9" s="236">
        <v>3.0</v>
      </c>
      <c r="N9" s="236">
        <v>4.0</v>
      </c>
      <c r="O9" s="236">
        <v>5.0</v>
      </c>
      <c r="P9" s="237">
        <v>6.0</v>
      </c>
    </row>
    <row r="10" ht="15.0" customHeight="1">
      <c r="B10" s="28" t="s">
        <v>45</v>
      </c>
      <c r="C10" s="29" t="s">
        <v>760</v>
      </c>
      <c r="D10" s="238" t="s">
        <v>760</v>
      </c>
      <c r="E10" s="239">
        <f t="shared" ref="E10:E212" si="4">IF($I10=1,K10, IF($I10=2,L10, IF($I10=3,M10, IF($I10=4,N10, IF($I10=5,O10, IF($I10=6,P10, "Free Agent"))))))</f>
        <v>6</v>
      </c>
      <c r="F10" s="240"/>
      <c r="G10" s="240" t="s">
        <v>48</v>
      </c>
      <c r="H10" s="29">
        <v>2023.0</v>
      </c>
      <c r="I10" s="29">
        <f>($D$2-H10)+1</f>
        <v>2</v>
      </c>
      <c r="J10" s="36"/>
      <c r="K10" s="36">
        <f t="shared" ref="K10:K458" si="5">MAX(F10,1)</f>
        <v>1</v>
      </c>
      <c r="L10" s="36">
        <f t="shared" ref="L10:L370" si="6">K10+5</f>
        <v>6</v>
      </c>
      <c r="M10" s="36">
        <f t="shared" ref="M10:M370" si="7">L10+10</f>
        <v>16</v>
      </c>
      <c r="N10" s="36">
        <f t="shared" ref="N10:N370" si="8">M10+15</f>
        <v>31</v>
      </c>
      <c r="O10" s="36">
        <f t="shared" ref="O10:O370" si="9">N10+20</f>
        <v>51</v>
      </c>
      <c r="P10" s="36">
        <f t="shared" ref="P10:P370" si="10">O10+25</f>
        <v>76</v>
      </c>
    </row>
    <row r="11">
      <c r="A11" s="241"/>
      <c r="B11" s="242" t="s">
        <v>45</v>
      </c>
      <c r="C11" s="243" t="s">
        <v>55</v>
      </c>
      <c r="D11" s="238" t="s">
        <v>285</v>
      </c>
      <c r="E11" s="239">
        <f t="shared" si="4"/>
        <v>38</v>
      </c>
      <c r="F11" s="244">
        <v>8.0</v>
      </c>
      <c r="G11" s="240" t="s">
        <v>48</v>
      </c>
      <c r="H11" s="245">
        <v>2021.0</v>
      </c>
      <c r="I11" s="28">
        <v>4.0</v>
      </c>
      <c r="J11" s="36"/>
      <c r="K11" s="36">
        <f t="shared" si="5"/>
        <v>8</v>
      </c>
      <c r="L11" s="36">
        <f t="shared" si="6"/>
        <v>13</v>
      </c>
      <c r="M11" s="36">
        <f t="shared" si="7"/>
        <v>23</v>
      </c>
      <c r="N11" s="36">
        <f t="shared" si="8"/>
        <v>38</v>
      </c>
      <c r="O11" s="36">
        <f t="shared" si="9"/>
        <v>58</v>
      </c>
      <c r="P11" s="36">
        <f t="shared" si="10"/>
        <v>83</v>
      </c>
    </row>
    <row r="12">
      <c r="A12" s="241"/>
      <c r="B12" s="242" t="s">
        <v>45</v>
      </c>
      <c r="C12" s="29" t="s">
        <v>55</v>
      </c>
      <c r="D12" s="59" t="s">
        <v>105</v>
      </c>
      <c r="E12" s="239">
        <f t="shared" si="4"/>
        <v>16</v>
      </c>
      <c r="F12" s="240">
        <v>1.0</v>
      </c>
      <c r="G12" s="240" t="s">
        <v>48</v>
      </c>
      <c r="H12" s="29">
        <v>2022.0</v>
      </c>
      <c r="I12" s="29">
        <f t="shared" ref="I12:I458" si="11">($D$2-H12)+1</f>
        <v>3</v>
      </c>
      <c r="J12" s="36"/>
      <c r="K12" s="36">
        <f t="shared" si="5"/>
        <v>1</v>
      </c>
      <c r="L12" s="36">
        <f t="shared" si="6"/>
        <v>6</v>
      </c>
      <c r="M12" s="36">
        <f t="shared" si="7"/>
        <v>16</v>
      </c>
      <c r="N12" s="36">
        <f t="shared" si="8"/>
        <v>31</v>
      </c>
      <c r="O12" s="36">
        <f t="shared" si="9"/>
        <v>51</v>
      </c>
      <c r="P12" s="36">
        <f t="shared" si="10"/>
        <v>76</v>
      </c>
    </row>
    <row r="13">
      <c r="A13" s="241"/>
      <c r="B13" s="242" t="s">
        <v>45</v>
      </c>
      <c r="C13" s="29" t="s">
        <v>55</v>
      </c>
      <c r="D13" s="59" t="s">
        <v>764</v>
      </c>
      <c r="E13" s="239">
        <f t="shared" si="4"/>
        <v>7</v>
      </c>
      <c r="F13" s="240">
        <v>2.0</v>
      </c>
      <c r="G13" s="240" t="s">
        <v>765</v>
      </c>
      <c r="H13" s="29">
        <v>2023.0</v>
      </c>
      <c r="I13" s="29">
        <f t="shared" si="11"/>
        <v>2</v>
      </c>
      <c r="J13" s="36"/>
      <c r="K13" s="36">
        <f t="shared" si="5"/>
        <v>2</v>
      </c>
      <c r="L13" s="36">
        <f t="shared" si="6"/>
        <v>7</v>
      </c>
      <c r="M13" s="36">
        <f t="shared" si="7"/>
        <v>17</v>
      </c>
      <c r="N13" s="36">
        <f t="shared" si="8"/>
        <v>32</v>
      </c>
      <c r="O13" s="36">
        <f t="shared" si="9"/>
        <v>52</v>
      </c>
      <c r="P13" s="36">
        <f t="shared" si="10"/>
        <v>77</v>
      </c>
    </row>
    <row r="14">
      <c r="A14" s="241"/>
      <c r="B14" s="242" t="s">
        <v>45</v>
      </c>
      <c r="C14" s="29" t="s">
        <v>51</v>
      </c>
      <c r="D14" s="59" t="s">
        <v>263</v>
      </c>
      <c r="E14" s="239">
        <f t="shared" si="4"/>
        <v>71</v>
      </c>
      <c r="F14" s="240">
        <v>66.0</v>
      </c>
      <c r="G14" s="240" t="s">
        <v>48</v>
      </c>
      <c r="H14" s="29">
        <v>2023.0</v>
      </c>
      <c r="I14" s="29">
        <f t="shared" si="11"/>
        <v>2</v>
      </c>
      <c r="J14" s="36"/>
      <c r="K14" s="36">
        <f t="shared" si="5"/>
        <v>66</v>
      </c>
      <c r="L14" s="36">
        <f t="shared" si="6"/>
        <v>71</v>
      </c>
      <c r="M14" s="36">
        <f t="shared" si="7"/>
        <v>81</v>
      </c>
      <c r="N14" s="36">
        <f t="shared" si="8"/>
        <v>96</v>
      </c>
      <c r="O14" s="36">
        <f t="shared" si="9"/>
        <v>116</v>
      </c>
      <c r="P14" s="36">
        <f t="shared" si="10"/>
        <v>141</v>
      </c>
    </row>
    <row r="15">
      <c r="A15" s="241"/>
      <c r="B15" s="242" t="s">
        <v>45</v>
      </c>
      <c r="C15" s="29" t="s">
        <v>51</v>
      </c>
      <c r="D15" s="59" t="s">
        <v>278</v>
      </c>
      <c r="E15" s="239">
        <f t="shared" si="4"/>
        <v>65</v>
      </c>
      <c r="F15" s="240">
        <v>50.0</v>
      </c>
      <c r="G15" s="240" t="s">
        <v>48</v>
      </c>
      <c r="H15" s="29">
        <v>2022.0</v>
      </c>
      <c r="I15" s="29">
        <f t="shared" si="11"/>
        <v>3</v>
      </c>
      <c r="J15" s="36"/>
      <c r="K15" s="36">
        <f t="shared" si="5"/>
        <v>50</v>
      </c>
      <c r="L15" s="36">
        <f t="shared" si="6"/>
        <v>55</v>
      </c>
      <c r="M15" s="36">
        <f t="shared" si="7"/>
        <v>65</v>
      </c>
      <c r="N15" s="36">
        <f t="shared" si="8"/>
        <v>80</v>
      </c>
      <c r="O15" s="36">
        <f t="shared" si="9"/>
        <v>100</v>
      </c>
      <c r="P15" s="36">
        <f t="shared" si="10"/>
        <v>125</v>
      </c>
    </row>
    <row r="16">
      <c r="A16" s="241"/>
      <c r="B16" s="28" t="s">
        <v>45</v>
      </c>
      <c r="C16" s="50" t="s">
        <v>51</v>
      </c>
      <c r="D16" s="59" t="s">
        <v>124</v>
      </c>
      <c r="E16" s="239">
        <f t="shared" si="4"/>
        <v>34</v>
      </c>
      <c r="F16" s="240">
        <v>4.0</v>
      </c>
      <c r="G16" s="240" t="s">
        <v>48</v>
      </c>
      <c r="H16" s="29">
        <v>2021.0</v>
      </c>
      <c r="I16" s="29">
        <f t="shared" si="11"/>
        <v>4</v>
      </c>
      <c r="J16" s="36"/>
      <c r="K16" s="36">
        <f t="shared" si="5"/>
        <v>4</v>
      </c>
      <c r="L16" s="36">
        <f t="shared" si="6"/>
        <v>9</v>
      </c>
      <c r="M16" s="36">
        <f t="shared" si="7"/>
        <v>19</v>
      </c>
      <c r="N16" s="36">
        <f t="shared" si="8"/>
        <v>34</v>
      </c>
      <c r="O16" s="36">
        <f t="shared" si="9"/>
        <v>54</v>
      </c>
      <c r="P16" s="36">
        <f t="shared" si="10"/>
        <v>79</v>
      </c>
    </row>
    <row r="17">
      <c r="A17" s="241"/>
      <c r="B17" s="28" t="s">
        <v>45</v>
      </c>
      <c r="C17" s="50" t="s">
        <v>51</v>
      </c>
      <c r="D17" s="59" t="s">
        <v>206</v>
      </c>
      <c r="E17" s="239">
        <f t="shared" si="4"/>
        <v>32</v>
      </c>
      <c r="F17" s="240">
        <v>2.0</v>
      </c>
      <c r="G17" s="240" t="s">
        <v>48</v>
      </c>
      <c r="H17" s="29">
        <v>2021.0</v>
      </c>
      <c r="I17" s="29">
        <f t="shared" si="11"/>
        <v>4</v>
      </c>
      <c r="J17" s="36"/>
      <c r="K17" s="36">
        <f t="shared" si="5"/>
        <v>2</v>
      </c>
      <c r="L17" s="36">
        <f t="shared" si="6"/>
        <v>7</v>
      </c>
      <c r="M17" s="36">
        <f t="shared" si="7"/>
        <v>17</v>
      </c>
      <c r="N17" s="36">
        <f t="shared" si="8"/>
        <v>32</v>
      </c>
      <c r="O17" s="36">
        <f t="shared" si="9"/>
        <v>52</v>
      </c>
      <c r="P17" s="36">
        <f t="shared" si="10"/>
        <v>77</v>
      </c>
    </row>
    <row r="18">
      <c r="A18" s="241"/>
      <c r="B18" s="28" t="s">
        <v>45</v>
      </c>
      <c r="C18" s="50" t="s">
        <v>51</v>
      </c>
      <c r="D18" s="59" t="s">
        <v>194</v>
      </c>
      <c r="E18" s="239">
        <f t="shared" si="4"/>
        <v>7</v>
      </c>
      <c r="F18" s="240">
        <v>2.0</v>
      </c>
      <c r="G18" s="240" t="s">
        <v>765</v>
      </c>
      <c r="H18" s="29">
        <v>2023.0</v>
      </c>
      <c r="I18" s="29">
        <f t="shared" si="11"/>
        <v>2</v>
      </c>
      <c r="J18" s="36"/>
      <c r="K18" s="36">
        <f t="shared" si="5"/>
        <v>2</v>
      </c>
      <c r="L18" s="36">
        <f t="shared" si="6"/>
        <v>7</v>
      </c>
      <c r="M18" s="36">
        <f t="shared" si="7"/>
        <v>17</v>
      </c>
      <c r="N18" s="36">
        <f t="shared" si="8"/>
        <v>32</v>
      </c>
      <c r="O18" s="36">
        <f t="shared" si="9"/>
        <v>52</v>
      </c>
      <c r="P18" s="36">
        <f t="shared" si="10"/>
        <v>77</v>
      </c>
    </row>
    <row r="19">
      <c r="A19" s="241"/>
      <c r="B19" s="28" t="s">
        <v>45</v>
      </c>
      <c r="C19" s="29" t="s">
        <v>60</v>
      </c>
      <c r="D19" s="59" t="s">
        <v>302</v>
      </c>
      <c r="E19" s="239">
        <f t="shared" si="4"/>
        <v>16</v>
      </c>
      <c r="F19" s="36">
        <v>0.0</v>
      </c>
      <c r="G19" s="240" t="s">
        <v>48</v>
      </c>
      <c r="H19" s="29">
        <v>2022.0</v>
      </c>
      <c r="I19" s="29">
        <f t="shared" si="11"/>
        <v>3</v>
      </c>
      <c r="J19" s="36"/>
      <c r="K19" s="36">
        <f t="shared" si="5"/>
        <v>1</v>
      </c>
      <c r="L19" s="36">
        <f t="shared" si="6"/>
        <v>6</v>
      </c>
      <c r="M19" s="36">
        <f t="shared" si="7"/>
        <v>16</v>
      </c>
      <c r="N19" s="36">
        <f t="shared" si="8"/>
        <v>31</v>
      </c>
      <c r="O19" s="36">
        <f t="shared" si="9"/>
        <v>51</v>
      </c>
      <c r="P19" s="36">
        <f t="shared" si="10"/>
        <v>76</v>
      </c>
    </row>
    <row r="20">
      <c r="A20" s="241"/>
      <c r="B20" s="76" t="s">
        <v>45</v>
      </c>
      <c r="C20" s="29" t="s">
        <v>60</v>
      </c>
      <c r="D20" s="59" t="s">
        <v>66</v>
      </c>
      <c r="E20" s="239">
        <f t="shared" si="4"/>
        <v>7</v>
      </c>
      <c r="F20" s="240">
        <v>2.0</v>
      </c>
      <c r="G20" s="240" t="s">
        <v>48</v>
      </c>
      <c r="H20" s="29">
        <v>2023.0</v>
      </c>
      <c r="I20" s="29">
        <f t="shared" si="11"/>
        <v>2</v>
      </c>
      <c r="J20" s="36"/>
      <c r="K20" s="36">
        <f t="shared" si="5"/>
        <v>2</v>
      </c>
      <c r="L20" s="36">
        <f t="shared" si="6"/>
        <v>7</v>
      </c>
      <c r="M20" s="36">
        <f t="shared" si="7"/>
        <v>17</v>
      </c>
      <c r="N20" s="36">
        <f t="shared" si="8"/>
        <v>32</v>
      </c>
      <c r="O20" s="36">
        <f t="shared" si="9"/>
        <v>52</v>
      </c>
      <c r="P20" s="36">
        <f t="shared" si="10"/>
        <v>77</v>
      </c>
    </row>
    <row r="21">
      <c r="A21" s="241"/>
      <c r="B21" s="28" t="s">
        <v>45</v>
      </c>
      <c r="C21" s="50" t="s">
        <v>46</v>
      </c>
      <c r="D21" s="59" t="s">
        <v>175</v>
      </c>
      <c r="E21" s="239">
        <f t="shared" si="4"/>
        <v>32</v>
      </c>
      <c r="F21" s="240">
        <v>2.0</v>
      </c>
      <c r="G21" s="240" t="s">
        <v>48</v>
      </c>
      <c r="H21" s="29">
        <v>2021.0</v>
      </c>
      <c r="I21" s="29">
        <f t="shared" si="11"/>
        <v>4</v>
      </c>
      <c r="J21" s="36"/>
      <c r="K21" s="36">
        <f t="shared" si="5"/>
        <v>2</v>
      </c>
      <c r="L21" s="36">
        <f t="shared" si="6"/>
        <v>7</v>
      </c>
      <c r="M21" s="36">
        <f t="shared" si="7"/>
        <v>17</v>
      </c>
      <c r="N21" s="36">
        <f t="shared" si="8"/>
        <v>32</v>
      </c>
      <c r="O21" s="36">
        <f t="shared" si="9"/>
        <v>52</v>
      </c>
      <c r="P21" s="36">
        <f t="shared" si="10"/>
        <v>77</v>
      </c>
    </row>
    <row r="22">
      <c r="A22" s="241"/>
      <c r="B22" s="28" t="s">
        <v>45</v>
      </c>
      <c r="C22" s="29" t="s">
        <v>46</v>
      </c>
      <c r="D22" s="59" t="s">
        <v>377</v>
      </c>
      <c r="E22" s="239">
        <f t="shared" si="4"/>
        <v>18</v>
      </c>
      <c r="F22" s="240">
        <v>13.0</v>
      </c>
      <c r="G22" s="240" t="s">
        <v>48</v>
      </c>
      <c r="H22" s="29">
        <v>2023.0</v>
      </c>
      <c r="I22" s="29">
        <f t="shared" si="11"/>
        <v>2</v>
      </c>
      <c r="J22" s="36"/>
      <c r="K22" s="36">
        <f t="shared" si="5"/>
        <v>13</v>
      </c>
      <c r="L22" s="36">
        <f t="shared" si="6"/>
        <v>18</v>
      </c>
      <c r="M22" s="36">
        <f t="shared" si="7"/>
        <v>28</v>
      </c>
      <c r="N22" s="36">
        <f t="shared" si="8"/>
        <v>43</v>
      </c>
      <c r="O22" s="36">
        <f t="shared" si="9"/>
        <v>63</v>
      </c>
      <c r="P22" s="36">
        <f t="shared" si="10"/>
        <v>88</v>
      </c>
    </row>
    <row r="23">
      <c r="A23" s="241"/>
      <c r="B23" s="242" t="s">
        <v>45</v>
      </c>
      <c r="C23" s="29" t="s">
        <v>46</v>
      </c>
      <c r="D23" s="59" t="s">
        <v>262</v>
      </c>
      <c r="E23" s="239">
        <f t="shared" si="4"/>
        <v>13</v>
      </c>
      <c r="F23" s="240">
        <v>8.0</v>
      </c>
      <c r="G23" s="240" t="s">
        <v>48</v>
      </c>
      <c r="H23" s="29">
        <v>2023.0</v>
      </c>
      <c r="I23" s="29">
        <f t="shared" si="11"/>
        <v>2</v>
      </c>
      <c r="J23" s="36"/>
      <c r="K23" s="36">
        <f t="shared" si="5"/>
        <v>8</v>
      </c>
      <c r="L23" s="36">
        <f t="shared" si="6"/>
        <v>13</v>
      </c>
      <c r="M23" s="36">
        <f t="shared" si="7"/>
        <v>23</v>
      </c>
      <c r="N23" s="36">
        <f t="shared" si="8"/>
        <v>38</v>
      </c>
      <c r="O23" s="36">
        <f t="shared" si="9"/>
        <v>58</v>
      </c>
      <c r="P23" s="36">
        <f t="shared" si="10"/>
        <v>83</v>
      </c>
    </row>
    <row r="24">
      <c r="A24" s="241"/>
      <c r="B24" s="242" t="s">
        <v>45</v>
      </c>
      <c r="C24" s="29" t="s">
        <v>46</v>
      </c>
      <c r="D24" s="59" t="s">
        <v>766</v>
      </c>
      <c r="E24" s="239">
        <f t="shared" si="4"/>
        <v>17</v>
      </c>
      <c r="F24" s="240">
        <v>2.0</v>
      </c>
      <c r="G24" s="240" t="s">
        <v>48</v>
      </c>
      <c r="H24" s="29">
        <v>2022.0</v>
      </c>
      <c r="I24" s="29">
        <f t="shared" si="11"/>
        <v>3</v>
      </c>
      <c r="J24" s="36"/>
      <c r="K24" s="36">
        <f t="shared" si="5"/>
        <v>2</v>
      </c>
      <c r="L24" s="36">
        <f t="shared" si="6"/>
        <v>7</v>
      </c>
      <c r="M24" s="36">
        <f t="shared" si="7"/>
        <v>17</v>
      </c>
      <c r="N24" s="36">
        <f t="shared" si="8"/>
        <v>32</v>
      </c>
      <c r="O24" s="36">
        <f t="shared" si="9"/>
        <v>52</v>
      </c>
      <c r="P24" s="36">
        <f t="shared" si="10"/>
        <v>77</v>
      </c>
    </row>
    <row r="25">
      <c r="A25" s="241"/>
      <c r="B25" s="28" t="s">
        <v>45</v>
      </c>
      <c r="C25" s="29" t="s">
        <v>46</v>
      </c>
      <c r="D25" s="59" t="s">
        <v>767</v>
      </c>
      <c r="E25" s="239">
        <f t="shared" si="4"/>
        <v>16</v>
      </c>
      <c r="F25" s="240">
        <v>1.0</v>
      </c>
      <c r="G25" s="240" t="s">
        <v>48</v>
      </c>
      <c r="H25" s="29">
        <v>2022.0</v>
      </c>
      <c r="I25" s="29">
        <f t="shared" si="11"/>
        <v>3</v>
      </c>
      <c r="J25" s="36"/>
      <c r="K25" s="36">
        <f t="shared" si="5"/>
        <v>1</v>
      </c>
      <c r="L25" s="36">
        <f t="shared" si="6"/>
        <v>6</v>
      </c>
      <c r="M25" s="36">
        <f t="shared" si="7"/>
        <v>16</v>
      </c>
      <c r="N25" s="36">
        <f t="shared" si="8"/>
        <v>31</v>
      </c>
      <c r="O25" s="36">
        <f t="shared" si="9"/>
        <v>51</v>
      </c>
      <c r="P25" s="36">
        <f t="shared" si="10"/>
        <v>76</v>
      </c>
    </row>
    <row r="26">
      <c r="A26" s="241"/>
      <c r="B26" s="242" t="s">
        <v>45</v>
      </c>
      <c r="C26" s="29" t="s">
        <v>46</v>
      </c>
      <c r="D26" s="59" t="s">
        <v>258</v>
      </c>
      <c r="E26" s="239">
        <f t="shared" si="4"/>
        <v>16</v>
      </c>
      <c r="F26" s="240">
        <v>1.0</v>
      </c>
      <c r="G26" s="240" t="s">
        <v>48</v>
      </c>
      <c r="H26" s="29">
        <v>2022.0</v>
      </c>
      <c r="I26" s="29">
        <f t="shared" si="11"/>
        <v>3</v>
      </c>
      <c r="J26" s="36"/>
      <c r="K26" s="36">
        <f t="shared" si="5"/>
        <v>1</v>
      </c>
      <c r="L26" s="36">
        <f t="shared" si="6"/>
        <v>6</v>
      </c>
      <c r="M26" s="36">
        <f t="shared" si="7"/>
        <v>16</v>
      </c>
      <c r="N26" s="36">
        <f t="shared" si="8"/>
        <v>31</v>
      </c>
      <c r="O26" s="36">
        <f t="shared" si="9"/>
        <v>51</v>
      </c>
      <c r="P26" s="36">
        <f t="shared" si="10"/>
        <v>76</v>
      </c>
    </row>
    <row r="27">
      <c r="A27" s="241"/>
      <c r="B27" s="246" t="s">
        <v>45</v>
      </c>
      <c r="C27" s="29" t="s">
        <v>46</v>
      </c>
      <c r="D27" s="59" t="s">
        <v>768</v>
      </c>
      <c r="E27" s="239">
        <f t="shared" si="4"/>
        <v>6</v>
      </c>
      <c r="F27" s="240">
        <v>1.0</v>
      </c>
      <c r="G27" s="240" t="s">
        <v>48</v>
      </c>
      <c r="H27" s="29">
        <v>2023.0</v>
      </c>
      <c r="I27" s="29">
        <f t="shared" si="11"/>
        <v>2</v>
      </c>
      <c r="J27" s="36"/>
      <c r="K27" s="36">
        <f t="shared" si="5"/>
        <v>1</v>
      </c>
      <c r="L27" s="36">
        <f t="shared" si="6"/>
        <v>6</v>
      </c>
      <c r="M27" s="36">
        <f t="shared" si="7"/>
        <v>16</v>
      </c>
      <c r="N27" s="36">
        <f t="shared" si="8"/>
        <v>31</v>
      </c>
      <c r="O27" s="36">
        <f t="shared" si="9"/>
        <v>51</v>
      </c>
      <c r="P27" s="36">
        <f t="shared" si="10"/>
        <v>76</v>
      </c>
    </row>
    <row r="28">
      <c r="A28" s="241"/>
      <c r="B28" s="242" t="s">
        <v>45</v>
      </c>
      <c r="C28" s="29" t="s">
        <v>46</v>
      </c>
      <c r="D28" s="59" t="s">
        <v>165</v>
      </c>
      <c r="E28" s="239">
        <f t="shared" si="4"/>
        <v>6</v>
      </c>
      <c r="F28" s="240">
        <v>1.0</v>
      </c>
      <c r="G28" s="240" t="s">
        <v>48</v>
      </c>
      <c r="H28" s="29">
        <v>2023.0</v>
      </c>
      <c r="I28" s="29">
        <f t="shared" si="11"/>
        <v>2</v>
      </c>
      <c r="J28" s="36"/>
      <c r="K28" s="36">
        <f t="shared" si="5"/>
        <v>1</v>
      </c>
      <c r="L28" s="36">
        <f t="shared" si="6"/>
        <v>6</v>
      </c>
      <c r="M28" s="36">
        <f t="shared" si="7"/>
        <v>16</v>
      </c>
      <c r="N28" s="36">
        <f t="shared" si="8"/>
        <v>31</v>
      </c>
      <c r="O28" s="36">
        <f t="shared" si="9"/>
        <v>51</v>
      </c>
      <c r="P28" s="36">
        <f t="shared" si="10"/>
        <v>76</v>
      </c>
    </row>
    <row r="29">
      <c r="A29" s="241"/>
      <c r="B29" s="242" t="s">
        <v>45</v>
      </c>
      <c r="C29" s="50" t="s">
        <v>46</v>
      </c>
      <c r="D29" s="59" t="s">
        <v>123</v>
      </c>
      <c r="E29" s="239">
        <f t="shared" si="4"/>
        <v>7</v>
      </c>
      <c r="F29" s="240">
        <v>2.0</v>
      </c>
      <c r="G29" s="240" t="s">
        <v>765</v>
      </c>
      <c r="H29" s="29">
        <v>2023.0</v>
      </c>
      <c r="I29" s="29">
        <f t="shared" si="11"/>
        <v>2</v>
      </c>
      <c r="J29" s="36"/>
      <c r="K29" s="36">
        <f t="shared" si="5"/>
        <v>2</v>
      </c>
      <c r="L29" s="36">
        <f t="shared" si="6"/>
        <v>7</v>
      </c>
      <c r="M29" s="36">
        <f t="shared" si="7"/>
        <v>17</v>
      </c>
      <c r="N29" s="36">
        <f t="shared" si="8"/>
        <v>32</v>
      </c>
      <c r="O29" s="36">
        <f t="shared" si="9"/>
        <v>52</v>
      </c>
      <c r="P29" s="36">
        <f t="shared" si="10"/>
        <v>77</v>
      </c>
    </row>
    <row r="30">
      <c r="A30" s="241"/>
      <c r="B30" s="242" t="s">
        <v>45</v>
      </c>
      <c r="C30" s="28" t="s">
        <v>46</v>
      </c>
      <c r="D30" s="58" t="s">
        <v>50</v>
      </c>
      <c r="E30" s="239">
        <f t="shared" si="4"/>
        <v>1</v>
      </c>
      <c r="F30" s="247">
        <v>1.0</v>
      </c>
      <c r="G30" s="247" t="s">
        <v>19</v>
      </c>
      <c r="H30" s="28">
        <v>2024.0</v>
      </c>
      <c r="I30" s="29">
        <f t="shared" si="11"/>
        <v>1</v>
      </c>
      <c r="J30" s="36">
        <v>17.0</v>
      </c>
      <c r="K30" s="36">
        <f t="shared" si="5"/>
        <v>1</v>
      </c>
      <c r="L30" s="36">
        <f t="shared" si="6"/>
        <v>6</v>
      </c>
      <c r="M30" s="36">
        <f t="shared" si="7"/>
        <v>16</v>
      </c>
      <c r="N30" s="36">
        <f t="shared" si="8"/>
        <v>31</v>
      </c>
      <c r="O30" s="36">
        <f t="shared" si="9"/>
        <v>51</v>
      </c>
      <c r="P30" s="36">
        <f t="shared" si="10"/>
        <v>76</v>
      </c>
    </row>
    <row r="31">
      <c r="A31" s="241"/>
      <c r="B31" s="29" t="s">
        <v>79</v>
      </c>
      <c r="C31" s="29" t="s">
        <v>55</v>
      </c>
      <c r="D31" s="59" t="s">
        <v>220</v>
      </c>
      <c r="E31" s="239">
        <f t="shared" si="4"/>
        <v>64</v>
      </c>
      <c r="F31" s="240">
        <v>49.0</v>
      </c>
      <c r="G31" s="240" t="s">
        <v>48</v>
      </c>
      <c r="H31" s="29">
        <v>2022.0</v>
      </c>
      <c r="I31" s="29">
        <f t="shared" si="11"/>
        <v>3</v>
      </c>
      <c r="J31" s="36"/>
      <c r="K31" s="36">
        <f t="shared" si="5"/>
        <v>49</v>
      </c>
      <c r="L31" s="36">
        <f t="shared" si="6"/>
        <v>54</v>
      </c>
      <c r="M31" s="36">
        <f t="shared" si="7"/>
        <v>64</v>
      </c>
      <c r="N31" s="36">
        <f t="shared" si="8"/>
        <v>79</v>
      </c>
      <c r="O31" s="36">
        <f t="shared" si="9"/>
        <v>99</v>
      </c>
      <c r="P31" s="36">
        <f t="shared" si="10"/>
        <v>124</v>
      </c>
    </row>
    <row r="32">
      <c r="A32" s="241"/>
      <c r="B32" s="245" t="s">
        <v>79</v>
      </c>
      <c r="C32" s="29" t="s">
        <v>760</v>
      </c>
      <c r="D32" s="59" t="s">
        <v>760</v>
      </c>
      <c r="E32" s="239">
        <f t="shared" si="4"/>
        <v>6</v>
      </c>
      <c r="F32" s="240"/>
      <c r="G32" s="240" t="s">
        <v>48</v>
      </c>
      <c r="H32" s="29">
        <v>2023.0</v>
      </c>
      <c r="I32" s="29">
        <f t="shared" si="11"/>
        <v>2</v>
      </c>
      <c r="J32" s="36"/>
      <c r="K32" s="36">
        <f t="shared" si="5"/>
        <v>1</v>
      </c>
      <c r="L32" s="36">
        <f t="shared" si="6"/>
        <v>6</v>
      </c>
      <c r="M32" s="36">
        <f t="shared" si="7"/>
        <v>16</v>
      </c>
      <c r="N32" s="36">
        <f t="shared" si="8"/>
        <v>31</v>
      </c>
      <c r="O32" s="36">
        <f t="shared" si="9"/>
        <v>51</v>
      </c>
      <c r="P32" s="36">
        <f t="shared" si="10"/>
        <v>76</v>
      </c>
    </row>
    <row r="33">
      <c r="A33" s="241"/>
      <c r="B33" s="245" t="s">
        <v>79</v>
      </c>
      <c r="C33" s="29" t="s">
        <v>55</v>
      </c>
      <c r="D33" s="59" t="s">
        <v>103</v>
      </c>
      <c r="E33" s="239">
        <f t="shared" si="4"/>
        <v>52</v>
      </c>
      <c r="F33" s="240">
        <v>2.0</v>
      </c>
      <c r="G33" s="240" t="s">
        <v>48</v>
      </c>
      <c r="H33" s="29">
        <v>2020.0</v>
      </c>
      <c r="I33" s="29">
        <f t="shared" si="11"/>
        <v>5</v>
      </c>
      <c r="J33" s="36"/>
      <c r="K33" s="36">
        <f t="shared" si="5"/>
        <v>2</v>
      </c>
      <c r="L33" s="36">
        <f t="shared" si="6"/>
        <v>7</v>
      </c>
      <c r="M33" s="36">
        <f t="shared" si="7"/>
        <v>17</v>
      </c>
      <c r="N33" s="36">
        <f t="shared" si="8"/>
        <v>32</v>
      </c>
      <c r="O33" s="36">
        <f t="shared" si="9"/>
        <v>52</v>
      </c>
      <c r="P33" s="36">
        <f t="shared" si="10"/>
        <v>77</v>
      </c>
    </row>
    <row r="34">
      <c r="A34" s="241"/>
      <c r="B34" s="245" t="s">
        <v>79</v>
      </c>
      <c r="C34" s="29" t="s">
        <v>55</v>
      </c>
      <c r="D34" s="59" t="s">
        <v>769</v>
      </c>
      <c r="E34" s="239">
        <f t="shared" si="4"/>
        <v>6</v>
      </c>
      <c r="F34" s="240">
        <v>1.0</v>
      </c>
      <c r="G34" s="240" t="s">
        <v>48</v>
      </c>
      <c r="H34" s="29">
        <v>2023.0</v>
      </c>
      <c r="I34" s="29">
        <f t="shared" si="11"/>
        <v>2</v>
      </c>
      <c r="J34" s="36"/>
      <c r="K34" s="36">
        <f t="shared" si="5"/>
        <v>1</v>
      </c>
      <c r="L34" s="36">
        <f t="shared" si="6"/>
        <v>6</v>
      </c>
      <c r="M34" s="36">
        <f t="shared" si="7"/>
        <v>16</v>
      </c>
      <c r="N34" s="36">
        <f t="shared" si="8"/>
        <v>31</v>
      </c>
      <c r="O34" s="36">
        <f t="shared" si="9"/>
        <v>51</v>
      </c>
      <c r="P34" s="36">
        <f t="shared" si="10"/>
        <v>76</v>
      </c>
    </row>
    <row r="35" ht="15.75" customHeight="1">
      <c r="A35" s="241"/>
      <c r="B35" s="29" t="s">
        <v>79</v>
      </c>
      <c r="C35" s="29" t="s">
        <v>55</v>
      </c>
      <c r="D35" s="59" t="s">
        <v>770</v>
      </c>
      <c r="E35" s="239">
        <f t="shared" si="4"/>
        <v>7</v>
      </c>
      <c r="F35" s="240">
        <v>2.0</v>
      </c>
      <c r="G35" s="240" t="s">
        <v>765</v>
      </c>
      <c r="H35" s="29">
        <v>2023.0</v>
      </c>
      <c r="I35" s="29">
        <f t="shared" si="11"/>
        <v>2</v>
      </c>
      <c r="J35" s="36"/>
      <c r="K35" s="36">
        <f t="shared" si="5"/>
        <v>2</v>
      </c>
      <c r="L35" s="36">
        <f t="shared" si="6"/>
        <v>7</v>
      </c>
      <c r="M35" s="36">
        <f t="shared" si="7"/>
        <v>17</v>
      </c>
      <c r="N35" s="36">
        <f t="shared" si="8"/>
        <v>32</v>
      </c>
      <c r="O35" s="36">
        <f t="shared" si="9"/>
        <v>52</v>
      </c>
      <c r="P35" s="36">
        <f t="shared" si="10"/>
        <v>77</v>
      </c>
    </row>
    <row r="36" ht="15.75" customHeight="1">
      <c r="A36" s="241"/>
      <c r="B36" s="245" t="s">
        <v>79</v>
      </c>
      <c r="C36" s="29" t="s">
        <v>55</v>
      </c>
      <c r="D36" s="59" t="s">
        <v>363</v>
      </c>
      <c r="E36" s="239">
        <f t="shared" si="4"/>
        <v>7</v>
      </c>
      <c r="F36" s="240">
        <v>2.0</v>
      </c>
      <c r="G36" s="240" t="s">
        <v>765</v>
      </c>
      <c r="H36" s="29">
        <v>2023.0</v>
      </c>
      <c r="I36" s="29">
        <f t="shared" si="11"/>
        <v>2</v>
      </c>
      <c r="J36" s="36"/>
      <c r="K36" s="36">
        <f t="shared" si="5"/>
        <v>2</v>
      </c>
      <c r="L36" s="36">
        <f t="shared" si="6"/>
        <v>7</v>
      </c>
      <c r="M36" s="36">
        <f t="shared" si="7"/>
        <v>17</v>
      </c>
      <c r="N36" s="36">
        <f t="shared" si="8"/>
        <v>32</v>
      </c>
      <c r="O36" s="36">
        <f t="shared" si="9"/>
        <v>52</v>
      </c>
      <c r="P36" s="36">
        <f t="shared" si="10"/>
        <v>77</v>
      </c>
    </row>
    <row r="37" ht="15.75" customHeight="1">
      <c r="A37" s="241"/>
      <c r="B37" s="29" t="s">
        <v>79</v>
      </c>
      <c r="C37" s="29" t="s">
        <v>55</v>
      </c>
      <c r="D37" s="59" t="s">
        <v>771</v>
      </c>
      <c r="E37" s="239">
        <f t="shared" si="4"/>
        <v>7</v>
      </c>
      <c r="F37" s="240">
        <v>2.0</v>
      </c>
      <c r="G37" s="240" t="s">
        <v>765</v>
      </c>
      <c r="H37" s="29">
        <v>2023.0</v>
      </c>
      <c r="I37" s="29">
        <f t="shared" si="11"/>
        <v>2</v>
      </c>
      <c r="J37" s="36"/>
      <c r="K37" s="36">
        <f t="shared" si="5"/>
        <v>2</v>
      </c>
      <c r="L37" s="36">
        <f t="shared" si="6"/>
        <v>7</v>
      </c>
      <c r="M37" s="36">
        <f t="shared" si="7"/>
        <v>17</v>
      </c>
      <c r="N37" s="36">
        <f t="shared" si="8"/>
        <v>32</v>
      </c>
      <c r="O37" s="36">
        <f t="shared" si="9"/>
        <v>52</v>
      </c>
      <c r="P37" s="36">
        <f t="shared" si="10"/>
        <v>77</v>
      </c>
    </row>
    <row r="38" ht="15.75" customHeight="1">
      <c r="A38" s="241"/>
      <c r="B38" s="29" t="s">
        <v>79</v>
      </c>
      <c r="C38" s="29" t="s">
        <v>51</v>
      </c>
      <c r="D38" s="59" t="s">
        <v>184</v>
      </c>
      <c r="E38" s="239">
        <f t="shared" si="4"/>
        <v>17</v>
      </c>
      <c r="F38" s="240">
        <v>12.0</v>
      </c>
      <c r="G38" s="240" t="s">
        <v>48</v>
      </c>
      <c r="H38" s="29">
        <v>2023.0</v>
      </c>
      <c r="I38" s="29">
        <f t="shared" si="11"/>
        <v>2</v>
      </c>
      <c r="J38" s="36"/>
      <c r="K38" s="36">
        <f t="shared" si="5"/>
        <v>12</v>
      </c>
      <c r="L38" s="36">
        <f t="shared" si="6"/>
        <v>17</v>
      </c>
      <c r="M38" s="36">
        <f t="shared" si="7"/>
        <v>27</v>
      </c>
      <c r="N38" s="36">
        <f t="shared" si="8"/>
        <v>42</v>
      </c>
      <c r="O38" s="36">
        <f t="shared" si="9"/>
        <v>62</v>
      </c>
      <c r="P38" s="36">
        <f t="shared" si="10"/>
        <v>87</v>
      </c>
    </row>
    <row r="39" ht="15.75" customHeight="1">
      <c r="A39" s="241"/>
      <c r="B39" s="29" t="s">
        <v>79</v>
      </c>
      <c r="C39" s="29" t="s">
        <v>51</v>
      </c>
      <c r="D39" s="59" t="s">
        <v>249</v>
      </c>
      <c r="E39" s="239">
        <f t="shared" si="4"/>
        <v>7</v>
      </c>
      <c r="F39" s="240">
        <v>2.0</v>
      </c>
      <c r="G39" s="240" t="s">
        <v>48</v>
      </c>
      <c r="H39" s="29">
        <v>2023.0</v>
      </c>
      <c r="I39" s="29">
        <f t="shared" si="11"/>
        <v>2</v>
      </c>
      <c r="J39" s="36"/>
      <c r="K39" s="36">
        <f t="shared" si="5"/>
        <v>2</v>
      </c>
      <c r="L39" s="36">
        <f t="shared" si="6"/>
        <v>7</v>
      </c>
      <c r="M39" s="36">
        <f t="shared" si="7"/>
        <v>17</v>
      </c>
      <c r="N39" s="36">
        <f t="shared" si="8"/>
        <v>32</v>
      </c>
      <c r="O39" s="36">
        <f t="shared" si="9"/>
        <v>52</v>
      </c>
      <c r="P39" s="36">
        <f t="shared" si="10"/>
        <v>77</v>
      </c>
    </row>
    <row r="40" ht="15.75" customHeight="1">
      <c r="A40" s="241"/>
      <c r="B40" s="29" t="s">
        <v>79</v>
      </c>
      <c r="C40" s="29" t="s">
        <v>51</v>
      </c>
      <c r="D40" s="59" t="s">
        <v>772</v>
      </c>
      <c r="E40" s="239">
        <f t="shared" si="4"/>
        <v>6</v>
      </c>
      <c r="F40" s="240">
        <v>1.0</v>
      </c>
      <c r="G40" s="240" t="s">
        <v>48</v>
      </c>
      <c r="H40" s="29">
        <v>2023.0</v>
      </c>
      <c r="I40" s="29">
        <f t="shared" si="11"/>
        <v>2</v>
      </c>
      <c r="J40" s="36"/>
      <c r="K40" s="36">
        <f t="shared" si="5"/>
        <v>1</v>
      </c>
      <c r="L40" s="36">
        <f t="shared" si="6"/>
        <v>6</v>
      </c>
      <c r="M40" s="36">
        <f t="shared" si="7"/>
        <v>16</v>
      </c>
      <c r="N40" s="36">
        <f t="shared" si="8"/>
        <v>31</v>
      </c>
      <c r="O40" s="36">
        <f t="shared" si="9"/>
        <v>51</v>
      </c>
      <c r="P40" s="36">
        <f t="shared" si="10"/>
        <v>76</v>
      </c>
    </row>
    <row r="41" ht="15.75" customHeight="1">
      <c r="A41" s="241"/>
      <c r="B41" s="29" t="s">
        <v>79</v>
      </c>
      <c r="C41" s="29" t="s">
        <v>60</v>
      </c>
      <c r="D41" s="59" t="s">
        <v>773</v>
      </c>
      <c r="E41" s="239">
        <f t="shared" si="4"/>
        <v>7</v>
      </c>
      <c r="F41" s="240">
        <v>2.0</v>
      </c>
      <c r="G41" s="240" t="s">
        <v>48</v>
      </c>
      <c r="H41" s="29">
        <v>2023.0</v>
      </c>
      <c r="I41" s="29">
        <f t="shared" si="11"/>
        <v>2</v>
      </c>
      <c r="J41" s="36"/>
      <c r="K41" s="36">
        <f t="shared" si="5"/>
        <v>2</v>
      </c>
      <c r="L41" s="36">
        <f t="shared" si="6"/>
        <v>7</v>
      </c>
      <c r="M41" s="36">
        <f t="shared" si="7"/>
        <v>17</v>
      </c>
      <c r="N41" s="36">
        <f t="shared" si="8"/>
        <v>32</v>
      </c>
      <c r="O41" s="36">
        <f t="shared" si="9"/>
        <v>52</v>
      </c>
      <c r="P41" s="36">
        <f t="shared" si="10"/>
        <v>77</v>
      </c>
    </row>
    <row r="42" ht="15.75" customHeight="1">
      <c r="A42" s="241"/>
      <c r="B42" s="29" t="s">
        <v>79</v>
      </c>
      <c r="C42" s="29" t="s">
        <v>60</v>
      </c>
      <c r="D42" s="59" t="s">
        <v>774</v>
      </c>
      <c r="E42" s="239">
        <f t="shared" si="4"/>
        <v>7</v>
      </c>
      <c r="F42" s="240">
        <v>2.0</v>
      </c>
      <c r="G42" s="240" t="s">
        <v>765</v>
      </c>
      <c r="H42" s="29">
        <v>2023.0</v>
      </c>
      <c r="I42" s="29">
        <f t="shared" si="11"/>
        <v>2</v>
      </c>
      <c r="J42" s="36"/>
      <c r="K42" s="36">
        <f t="shared" si="5"/>
        <v>2</v>
      </c>
      <c r="L42" s="36">
        <f t="shared" si="6"/>
        <v>7</v>
      </c>
      <c r="M42" s="36">
        <f t="shared" si="7"/>
        <v>17</v>
      </c>
      <c r="N42" s="36">
        <f t="shared" si="8"/>
        <v>32</v>
      </c>
      <c r="O42" s="36">
        <f t="shared" si="9"/>
        <v>52</v>
      </c>
      <c r="P42" s="36">
        <f t="shared" si="10"/>
        <v>77</v>
      </c>
    </row>
    <row r="43" ht="15.75" customHeight="1">
      <c r="A43" s="241"/>
      <c r="B43" s="29" t="s">
        <v>79</v>
      </c>
      <c r="C43" s="29" t="s">
        <v>60</v>
      </c>
      <c r="D43" s="59" t="s">
        <v>775</v>
      </c>
      <c r="E43" s="239">
        <f t="shared" si="4"/>
        <v>32</v>
      </c>
      <c r="F43" s="240">
        <v>27.0</v>
      </c>
      <c r="G43" s="240" t="s">
        <v>48</v>
      </c>
      <c r="H43" s="29">
        <v>2023.0</v>
      </c>
      <c r="I43" s="29">
        <f t="shared" si="11"/>
        <v>2</v>
      </c>
      <c r="J43" s="36"/>
      <c r="K43" s="36">
        <f t="shared" si="5"/>
        <v>27</v>
      </c>
      <c r="L43" s="36">
        <f t="shared" si="6"/>
        <v>32</v>
      </c>
      <c r="M43" s="36">
        <f t="shared" si="7"/>
        <v>42</v>
      </c>
      <c r="N43" s="36">
        <f t="shared" si="8"/>
        <v>57</v>
      </c>
      <c r="O43" s="36">
        <f t="shared" si="9"/>
        <v>77</v>
      </c>
      <c r="P43" s="36">
        <f t="shared" si="10"/>
        <v>102</v>
      </c>
    </row>
    <row r="44" ht="15.75" customHeight="1">
      <c r="A44" s="241"/>
      <c r="B44" s="29" t="s">
        <v>79</v>
      </c>
      <c r="C44" s="29" t="s">
        <v>60</v>
      </c>
      <c r="D44" s="59" t="s">
        <v>776</v>
      </c>
      <c r="E44" s="239">
        <f t="shared" si="4"/>
        <v>6</v>
      </c>
      <c r="F44" s="240">
        <v>1.0</v>
      </c>
      <c r="G44" s="240" t="s">
        <v>48</v>
      </c>
      <c r="H44" s="29">
        <v>2023.0</v>
      </c>
      <c r="I44" s="29">
        <f t="shared" si="11"/>
        <v>2</v>
      </c>
      <c r="J44" s="36"/>
      <c r="K44" s="36">
        <f t="shared" si="5"/>
        <v>1</v>
      </c>
      <c r="L44" s="36">
        <f t="shared" si="6"/>
        <v>6</v>
      </c>
      <c r="M44" s="36">
        <f t="shared" si="7"/>
        <v>16</v>
      </c>
      <c r="N44" s="36">
        <f t="shared" si="8"/>
        <v>31</v>
      </c>
      <c r="O44" s="36">
        <f t="shared" si="9"/>
        <v>51</v>
      </c>
      <c r="P44" s="36">
        <f t="shared" si="10"/>
        <v>76</v>
      </c>
    </row>
    <row r="45" ht="15.75" customHeight="1">
      <c r="A45" s="241"/>
      <c r="B45" s="28" t="s">
        <v>297</v>
      </c>
      <c r="C45" s="29" t="s">
        <v>46</v>
      </c>
      <c r="D45" s="59" t="s">
        <v>300</v>
      </c>
      <c r="E45" s="239">
        <f t="shared" si="4"/>
        <v>51</v>
      </c>
      <c r="F45" s="240">
        <v>1.0</v>
      </c>
      <c r="G45" s="240" t="s">
        <v>48</v>
      </c>
      <c r="H45" s="29">
        <v>2020.0</v>
      </c>
      <c r="I45" s="29">
        <f t="shared" si="11"/>
        <v>5</v>
      </c>
      <c r="J45" s="36"/>
      <c r="K45" s="36">
        <f t="shared" si="5"/>
        <v>1</v>
      </c>
      <c r="L45" s="36">
        <f t="shared" si="6"/>
        <v>6</v>
      </c>
      <c r="M45" s="36">
        <f t="shared" si="7"/>
        <v>16</v>
      </c>
      <c r="N45" s="36">
        <f t="shared" si="8"/>
        <v>31</v>
      </c>
      <c r="O45" s="36">
        <f t="shared" si="9"/>
        <v>51</v>
      </c>
      <c r="P45" s="36">
        <f t="shared" si="10"/>
        <v>76</v>
      </c>
    </row>
    <row r="46" ht="15.75" customHeight="1">
      <c r="A46" s="241"/>
      <c r="B46" s="29" t="s">
        <v>79</v>
      </c>
      <c r="C46" s="29" t="s">
        <v>46</v>
      </c>
      <c r="D46" s="59" t="s">
        <v>247</v>
      </c>
      <c r="E46" s="239">
        <f t="shared" si="4"/>
        <v>17</v>
      </c>
      <c r="F46" s="240">
        <v>2.0</v>
      </c>
      <c r="G46" s="240" t="s">
        <v>48</v>
      </c>
      <c r="H46" s="29">
        <v>2022.0</v>
      </c>
      <c r="I46" s="29">
        <f t="shared" si="11"/>
        <v>3</v>
      </c>
      <c r="J46" s="36"/>
      <c r="K46" s="36">
        <f t="shared" si="5"/>
        <v>2</v>
      </c>
      <c r="L46" s="36">
        <f t="shared" si="6"/>
        <v>7</v>
      </c>
      <c r="M46" s="36">
        <f t="shared" si="7"/>
        <v>17</v>
      </c>
      <c r="N46" s="36">
        <f t="shared" si="8"/>
        <v>32</v>
      </c>
      <c r="O46" s="36">
        <f t="shared" si="9"/>
        <v>52</v>
      </c>
      <c r="P46" s="36">
        <f t="shared" si="10"/>
        <v>77</v>
      </c>
    </row>
    <row r="47" ht="15.75" customHeight="1">
      <c r="A47" s="241"/>
      <c r="B47" s="29" t="s">
        <v>79</v>
      </c>
      <c r="C47" s="29" t="s">
        <v>46</v>
      </c>
      <c r="D47" s="59" t="s">
        <v>319</v>
      </c>
      <c r="E47" s="239">
        <f t="shared" si="4"/>
        <v>6</v>
      </c>
      <c r="F47" s="240">
        <v>1.0</v>
      </c>
      <c r="G47" s="240" t="s">
        <v>48</v>
      </c>
      <c r="H47" s="29">
        <v>2023.0</v>
      </c>
      <c r="I47" s="29">
        <f t="shared" si="11"/>
        <v>2</v>
      </c>
      <c r="J47" s="36"/>
      <c r="K47" s="36">
        <f t="shared" si="5"/>
        <v>1</v>
      </c>
      <c r="L47" s="36">
        <f t="shared" si="6"/>
        <v>6</v>
      </c>
      <c r="M47" s="36">
        <f t="shared" si="7"/>
        <v>16</v>
      </c>
      <c r="N47" s="36">
        <f t="shared" si="8"/>
        <v>31</v>
      </c>
      <c r="O47" s="36">
        <f t="shared" si="9"/>
        <v>51</v>
      </c>
      <c r="P47" s="36">
        <f t="shared" si="10"/>
        <v>76</v>
      </c>
    </row>
    <row r="48" ht="15.75" customHeight="1">
      <c r="A48" s="241"/>
      <c r="B48" s="29" t="s">
        <v>79</v>
      </c>
      <c r="C48" s="29" t="s">
        <v>46</v>
      </c>
      <c r="D48" s="59" t="s">
        <v>54</v>
      </c>
      <c r="E48" s="239">
        <f t="shared" si="4"/>
        <v>7</v>
      </c>
      <c r="F48" s="240">
        <v>2.0</v>
      </c>
      <c r="G48" s="240" t="s">
        <v>765</v>
      </c>
      <c r="H48" s="29">
        <v>2023.0</v>
      </c>
      <c r="I48" s="29">
        <f t="shared" si="11"/>
        <v>2</v>
      </c>
      <c r="J48" s="36"/>
      <c r="K48" s="36">
        <f t="shared" si="5"/>
        <v>2</v>
      </c>
      <c r="L48" s="36">
        <f t="shared" si="6"/>
        <v>7</v>
      </c>
      <c r="M48" s="36">
        <f t="shared" si="7"/>
        <v>17</v>
      </c>
      <c r="N48" s="36">
        <f t="shared" si="8"/>
        <v>32</v>
      </c>
      <c r="O48" s="36">
        <f t="shared" si="9"/>
        <v>52</v>
      </c>
      <c r="P48" s="36">
        <f t="shared" si="10"/>
        <v>77</v>
      </c>
    </row>
    <row r="49" ht="15.75" customHeight="1">
      <c r="A49" s="241"/>
      <c r="B49" s="28" t="s">
        <v>79</v>
      </c>
      <c r="C49" s="29" t="s">
        <v>46</v>
      </c>
      <c r="D49" s="59" t="s">
        <v>316</v>
      </c>
      <c r="E49" s="239">
        <f t="shared" si="4"/>
        <v>29</v>
      </c>
      <c r="F49" s="240">
        <v>24.0</v>
      </c>
      <c r="G49" s="240" t="s">
        <v>48</v>
      </c>
      <c r="H49" s="29">
        <v>2023.0</v>
      </c>
      <c r="I49" s="29">
        <f t="shared" si="11"/>
        <v>2</v>
      </c>
      <c r="J49" s="36"/>
      <c r="K49" s="36">
        <f t="shared" si="5"/>
        <v>24</v>
      </c>
      <c r="L49" s="36">
        <f t="shared" si="6"/>
        <v>29</v>
      </c>
      <c r="M49" s="36">
        <f t="shared" si="7"/>
        <v>39</v>
      </c>
      <c r="N49" s="36">
        <f t="shared" si="8"/>
        <v>54</v>
      </c>
      <c r="O49" s="36">
        <f t="shared" si="9"/>
        <v>74</v>
      </c>
      <c r="P49" s="36">
        <f t="shared" si="10"/>
        <v>99</v>
      </c>
    </row>
    <row r="50" ht="15.75" customHeight="1">
      <c r="A50" s="241"/>
      <c r="B50" s="28" t="s">
        <v>79</v>
      </c>
      <c r="C50" s="28" t="s">
        <v>55</v>
      </c>
      <c r="D50" s="58" t="s">
        <v>86</v>
      </c>
      <c r="E50" s="239">
        <f t="shared" si="4"/>
        <v>2</v>
      </c>
      <c r="F50" s="247">
        <v>2.0</v>
      </c>
      <c r="G50" s="247" t="s">
        <v>19</v>
      </c>
      <c r="H50" s="28">
        <v>2024.0</v>
      </c>
      <c r="I50" s="29">
        <f t="shared" si="11"/>
        <v>1</v>
      </c>
      <c r="J50" s="36">
        <v>17.0</v>
      </c>
      <c r="K50" s="36">
        <f t="shared" si="5"/>
        <v>2</v>
      </c>
      <c r="L50" s="36">
        <f t="shared" si="6"/>
        <v>7</v>
      </c>
      <c r="M50" s="36">
        <f t="shared" si="7"/>
        <v>17</v>
      </c>
      <c r="N50" s="36">
        <f t="shared" si="8"/>
        <v>32</v>
      </c>
      <c r="O50" s="36">
        <f t="shared" si="9"/>
        <v>52</v>
      </c>
      <c r="P50" s="36">
        <f t="shared" si="10"/>
        <v>77</v>
      </c>
    </row>
    <row r="51" ht="15.75" customHeight="1">
      <c r="A51" s="241"/>
      <c r="B51" s="76" t="s">
        <v>79</v>
      </c>
      <c r="C51" s="29" t="s">
        <v>46</v>
      </c>
      <c r="D51" s="59" t="s">
        <v>78</v>
      </c>
      <c r="E51" s="239">
        <f t="shared" si="4"/>
        <v>7</v>
      </c>
      <c r="F51" s="240">
        <v>2.0</v>
      </c>
      <c r="G51" s="240" t="s">
        <v>48</v>
      </c>
      <c r="H51" s="29">
        <v>2023.0</v>
      </c>
      <c r="I51" s="29">
        <f t="shared" si="11"/>
        <v>2</v>
      </c>
      <c r="J51" s="36"/>
      <c r="K51" s="36">
        <f t="shared" si="5"/>
        <v>2</v>
      </c>
      <c r="L51" s="36">
        <f t="shared" si="6"/>
        <v>7</v>
      </c>
      <c r="M51" s="36">
        <f t="shared" si="7"/>
        <v>17</v>
      </c>
      <c r="N51" s="36">
        <f t="shared" si="8"/>
        <v>32</v>
      </c>
      <c r="O51" s="36">
        <f t="shared" si="9"/>
        <v>52</v>
      </c>
      <c r="P51" s="36">
        <f t="shared" si="10"/>
        <v>77</v>
      </c>
    </row>
    <row r="52" ht="15.75" customHeight="1">
      <c r="A52" s="241"/>
      <c r="B52" s="29" t="s">
        <v>100</v>
      </c>
      <c r="C52" s="29" t="s">
        <v>760</v>
      </c>
      <c r="D52" s="59" t="s">
        <v>760</v>
      </c>
      <c r="E52" s="239">
        <f t="shared" si="4"/>
        <v>6</v>
      </c>
      <c r="F52" s="240"/>
      <c r="G52" s="240" t="s">
        <v>48</v>
      </c>
      <c r="H52" s="29">
        <v>2023.0</v>
      </c>
      <c r="I52" s="29">
        <f t="shared" si="11"/>
        <v>2</v>
      </c>
      <c r="J52" s="36"/>
      <c r="K52" s="36">
        <f t="shared" si="5"/>
        <v>1</v>
      </c>
      <c r="L52" s="36">
        <f t="shared" si="6"/>
        <v>6</v>
      </c>
      <c r="M52" s="36">
        <f t="shared" si="7"/>
        <v>16</v>
      </c>
      <c r="N52" s="36">
        <f t="shared" si="8"/>
        <v>31</v>
      </c>
      <c r="O52" s="36">
        <f t="shared" si="9"/>
        <v>51</v>
      </c>
      <c r="P52" s="36">
        <f t="shared" si="10"/>
        <v>76</v>
      </c>
    </row>
    <row r="53" ht="15.75" customHeight="1">
      <c r="A53" s="241"/>
      <c r="B53" s="73" t="s">
        <v>100</v>
      </c>
      <c r="C53" s="29" t="s">
        <v>55</v>
      </c>
      <c r="D53" s="59" t="s">
        <v>126</v>
      </c>
      <c r="E53" s="239">
        <f t="shared" si="4"/>
        <v>7</v>
      </c>
      <c r="F53" s="240">
        <v>2.0</v>
      </c>
      <c r="G53" s="240" t="s">
        <v>48</v>
      </c>
      <c r="H53" s="29">
        <v>2023.0</v>
      </c>
      <c r="I53" s="29">
        <f t="shared" si="11"/>
        <v>2</v>
      </c>
      <c r="J53" s="36"/>
      <c r="K53" s="36">
        <f t="shared" si="5"/>
        <v>2</v>
      </c>
      <c r="L53" s="36">
        <f t="shared" si="6"/>
        <v>7</v>
      </c>
      <c r="M53" s="36">
        <f t="shared" si="7"/>
        <v>17</v>
      </c>
      <c r="N53" s="36">
        <f t="shared" si="8"/>
        <v>32</v>
      </c>
      <c r="O53" s="36">
        <f t="shared" si="9"/>
        <v>52</v>
      </c>
      <c r="P53" s="36">
        <f t="shared" si="10"/>
        <v>77</v>
      </c>
    </row>
    <row r="54" ht="15.75" customHeight="1">
      <c r="A54" s="241"/>
      <c r="B54" s="29" t="s">
        <v>100</v>
      </c>
      <c r="C54" s="29" t="s">
        <v>55</v>
      </c>
      <c r="D54" s="59" t="s">
        <v>777</v>
      </c>
      <c r="E54" s="239">
        <f t="shared" si="4"/>
        <v>16</v>
      </c>
      <c r="F54" s="240">
        <v>1.0</v>
      </c>
      <c r="G54" s="240" t="s">
        <v>48</v>
      </c>
      <c r="H54" s="29">
        <v>2022.0</v>
      </c>
      <c r="I54" s="29">
        <f t="shared" si="11"/>
        <v>3</v>
      </c>
      <c r="J54" s="36"/>
      <c r="K54" s="36">
        <f t="shared" si="5"/>
        <v>1</v>
      </c>
      <c r="L54" s="36">
        <f t="shared" si="6"/>
        <v>6</v>
      </c>
      <c r="M54" s="36">
        <f t="shared" si="7"/>
        <v>16</v>
      </c>
      <c r="N54" s="36">
        <f t="shared" si="8"/>
        <v>31</v>
      </c>
      <c r="O54" s="36">
        <f t="shared" si="9"/>
        <v>51</v>
      </c>
      <c r="P54" s="36">
        <f t="shared" si="10"/>
        <v>76</v>
      </c>
    </row>
    <row r="55" ht="15.75" customHeight="1">
      <c r="A55" s="241"/>
      <c r="B55" s="29" t="s">
        <v>100</v>
      </c>
      <c r="C55" s="29" t="s">
        <v>55</v>
      </c>
      <c r="D55" s="59" t="s">
        <v>778</v>
      </c>
      <c r="E55" s="239">
        <f t="shared" si="4"/>
        <v>9</v>
      </c>
      <c r="F55" s="240">
        <v>4.0</v>
      </c>
      <c r="G55" s="240" t="s">
        <v>48</v>
      </c>
      <c r="H55" s="29">
        <v>2023.0</v>
      </c>
      <c r="I55" s="29">
        <f t="shared" si="11"/>
        <v>2</v>
      </c>
      <c r="J55" s="36"/>
      <c r="K55" s="36">
        <f t="shared" si="5"/>
        <v>4</v>
      </c>
      <c r="L55" s="36">
        <f t="shared" si="6"/>
        <v>9</v>
      </c>
      <c r="M55" s="36">
        <f t="shared" si="7"/>
        <v>19</v>
      </c>
      <c r="N55" s="36">
        <f t="shared" si="8"/>
        <v>34</v>
      </c>
      <c r="O55" s="36">
        <f t="shared" si="9"/>
        <v>54</v>
      </c>
      <c r="P55" s="36">
        <f t="shared" si="10"/>
        <v>79</v>
      </c>
    </row>
    <row r="56" ht="15.75" customHeight="1">
      <c r="A56" s="241"/>
      <c r="B56" s="29" t="s">
        <v>100</v>
      </c>
      <c r="C56" s="50" t="s">
        <v>55</v>
      </c>
      <c r="D56" s="59" t="s">
        <v>397</v>
      </c>
      <c r="E56" s="239">
        <f t="shared" si="4"/>
        <v>6</v>
      </c>
      <c r="F56" s="240">
        <v>1.0</v>
      </c>
      <c r="G56" s="240" t="s">
        <v>48</v>
      </c>
      <c r="H56" s="29">
        <v>2023.0</v>
      </c>
      <c r="I56" s="29">
        <f t="shared" si="11"/>
        <v>2</v>
      </c>
      <c r="J56" s="36"/>
      <c r="K56" s="36">
        <f t="shared" si="5"/>
        <v>1</v>
      </c>
      <c r="L56" s="36">
        <f t="shared" si="6"/>
        <v>6</v>
      </c>
      <c r="M56" s="36">
        <f t="shared" si="7"/>
        <v>16</v>
      </c>
      <c r="N56" s="36">
        <f t="shared" si="8"/>
        <v>31</v>
      </c>
      <c r="O56" s="36">
        <f t="shared" si="9"/>
        <v>51</v>
      </c>
      <c r="P56" s="36">
        <f t="shared" si="10"/>
        <v>76</v>
      </c>
    </row>
    <row r="57" ht="15.75" customHeight="1">
      <c r="A57" s="241"/>
      <c r="B57" s="29" t="s">
        <v>100</v>
      </c>
      <c r="C57" s="50" t="s">
        <v>55</v>
      </c>
      <c r="D57" s="59" t="s">
        <v>224</v>
      </c>
      <c r="E57" s="239">
        <f t="shared" si="4"/>
        <v>7</v>
      </c>
      <c r="F57" s="240">
        <v>2.0</v>
      </c>
      <c r="G57" s="240" t="s">
        <v>765</v>
      </c>
      <c r="H57" s="29">
        <v>2023.0</v>
      </c>
      <c r="I57" s="29">
        <f t="shared" si="11"/>
        <v>2</v>
      </c>
      <c r="J57" s="36"/>
      <c r="K57" s="36">
        <f t="shared" si="5"/>
        <v>2</v>
      </c>
      <c r="L57" s="36">
        <f t="shared" si="6"/>
        <v>7</v>
      </c>
      <c r="M57" s="36">
        <f t="shared" si="7"/>
        <v>17</v>
      </c>
      <c r="N57" s="36">
        <f t="shared" si="8"/>
        <v>32</v>
      </c>
      <c r="O57" s="36">
        <f t="shared" si="9"/>
        <v>52</v>
      </c>
      <c r="P57" s="36">
        <f t="shared" si="10"/>
        <v>77</v>
      </c>
    </row>
    <row r="58" ht="15.75" customHeight="1">
      <c r="A58" s="241"/>
      <c r="B58" s="73" t="s">
        <v>100</v>
      </c>
      <c r="C58" s="29" t="s">
        <v>51</v>
      </c>
      <c r="D58" s="59" t="s">
        <v>67</v>
      </c>
      <c r="E58" s="239">
        <f t="shared" si="4"/>
        <v>6</v>
      </c>
      <c r="F58" s="240">
        <v>1.0</v>
      </c>
      <c r="G58" s="240" t="s">
        <v>48</v>
      </c>
      <c r="H58" s="29">
        <v>2023.0</v>
      </c>
      <c r="I58" s="29">
        <f t="shared" si="11"/>
        <v>2</v>
      </c>
      <c r="J58" s="36"/>
      <c r="K58" s="36">
        <f t="shared" si="5"/>
        <v>1</v>
      </c>
      <c r="L58" s="36">
        <f t="shared" si="6"/>
        <v>6</v>
      </c>
      <c r="M58" s="36">
        <f t="shared" si="7"/>
        <v>16</v>
      </c>
      <c r="N58" s="36">
        <f t="shared" si="8"/>
        <v>31</v>
      </c>
      <c r="O58" s="36">
        <f t="shared" si="9"/>
        <v>51</v>
      </c>
      <c r="P58" s="36">
        <f t="shared" si="10"/>
        <v>76</v>
      </c>
    </row>
    <row r="59" ht="15.75" customHeight="1">
      <c r="A59" s="241"/>
      <c r="B59" s="29" t="s">
        <v>100</v>
      </c>
      <c r="C59" s="50" t="s">
        <v>51</v>
      </c>
      <c r="D59" s="59" t="s">
        <v>119</v>
      </c>
      <c r="E59" s="239">
        <f t="shared" si="4"/>
        <v>7</v>
      </c>
      <c r="F59" s="240">
        <v>2.0</v>
      </c>
      <c r="G59" s="240" t="s">
        <v>48</v>
      </c>
      <c r="H59" s="29">
        <v>2023.0</v>
      </c>
      <c r="I59" s="29">
        <f t="shared" si="11"/>
        <v>2</v>
      </c>
      <c r="J59" s="36"/>
      <c r="K59" s="36">
        <f t="shared" si="5"/>
        <v>2</v>
      </c>
      <c r="L59" s="36">
        <f t="shared" si="6"/>
        <v>7</v>
      </c>
      <c r="M59" s="36">
        <f t="shared" si="7"/>
        <v>17</v>
      </c>
      <c r="N59" s="36">
        <f t="shared" si="8"/>
        <v>32</v>
      </c>
      <c r="O59" s="36">
        <f t="shared" si="9"/>
        <v>52</v>
      </c>
      <c r="P59" s="36">
        <f t="shared" si="10"/>
        <v>77</v>
      </c>
    </row>
    <row r="60" ht="15.75" customHeight="1">
      <c r="A60" s="241"/>
      <c r="B60" s="29" t="s">
        <v>100</v>
      </c>
      <c r="C60" s="29" t="s">
        <v>51</v>
      </c>
      <c r="D60" s="59" t="s">
        <v>779</v>
      </c>
      <c r="E60" s="239">
        <f t="shared" si="4"/>
        <v>10</v>
      </c>
      <c r="F60" s="240">
        <v>5.0</v>
      </c>
      <c r="G60" s="240" t="s">
        <v>48</v>
      </c>
      <c r="H60" s="29">
        <v>2023.0</v>
      </c>
      <c r="I60" s="29">
        <f t="shared" si="11"/>
        <v>2</v>
      </c>
      <c r="J60" s="36"/>
      <c r="K60" s="36">
        <f t="shared" si="5"/>
        <v>5</v>
      </c>
      <c r="L60" s="36">
        <f t="shared" si="6"/>
        <v>10</v>
      </c>
      <c r="M60" s="36">
        <f t="shared" si="7"/>
        <v>20</v>
      </c>
      <c r="N60" s="36">
        <f t="shared" si="8"/>
        <v>35</v>
      </c>
      <c r="O60" s="36">
        <f t="shared" si="9"/>
        <v>55</v>
      </c>
      <c r="P60" s="36">
        <f t="shared" si="10"/>
        <v>80</v>
      </c>
    </row>
    <row r="61" ht="15.75" customHeight="1">
      <c r="A61" s="241"/>
      <c r="B61" s="28" t="s">
        <v>100</v>
      </c>
      <c r="C61" s="29" t="s">
        <v>51</v>
      </c>
      <c r="D61" s="59" t="s">
        <v>281</v>
      </c>
      <c r="E61" s="239">
        <f t="shared" si="4"/>
        <v>45</v>
      </c>
      <c r="F61" s="240">
        <v>40.0</v>
      </c>
      <c r="G61" s="240" t="s">
        <v>48</v>
      </c>
      <c r="H61" s="29">
        <v>2023.0</v>
      </c>
      <c r="I61" s="29">
        <f t="shared" si="11"/>
        <v>2</v>
      </c>
      <c r="J61" s="36"/>
      <c r="K61" s="36">
        <f t="shared" si="5"/>
        <v>40</v>
      </c>
      <c r="L61" s="36">
        <f t="shared" si="6"/>
        <v>45</v>
      </c>
      <c r="M61" s="36">
        <f t="shared" si="7"/>
        <v>55</v>
      </c>
      <c r="N61" s="36">
        <f t="shared" si="8"/>
        <v>70</v>
      </c>
      <c r="O61" s="36">
        <f t="shared" si="9"/>
        <v>90</v>
      </c>
      <c r="P61" s="36">
        <f t="shared" si="10"/>
        <v>115</v>
      </c>
    </row>
    <row r="62" ht="15.75" customHeight="1">
      <c r="B62" s="29" t="s">
        <v>100</v>
      </c>
      <c r="C62" s="28" t="s">
        <v>51</v>
      </c>
      <c r="D62" s="58" t="s">
        <v>277</v>
      </c>
      <c r="E62" s="239">
        <f t="shared" si="4"/>
        <v>1</v>
      </c>
      <c r="F62" s="247">
        <v>1.0</v>
      </c>
      <c r="G62" s="247" t="s">
        <v>19</v>
      </c>
      <c r="H62" s="28">
        <v>2024.0</v>
      </c>
      <c r="I62" s="29">
        <f t="shared" si="11"/>
        <v>1</v>
      </c>
      <c r="J62" s="36">
        <v>17.0</v>
      </c>
      <c r="K62" s="36">
        <f t="shared" si="5"/>
        <v>1</v>
      </c>
      <c r="L62" s="36">
        <f t="shared" si="6"/>
        <v>6</v>
      </c>
      <c r="M62" s="36">
        <f t="shared" si="7"/>
        <v>16</v>
      </c>
      <c r="N62" s="36">
        <f t="shared" si="8"/>
        <v>31</v>
      </c>
      <c r="O62" s="36">
        <f t="shared" si="9"/>
        <v>51</v>
      </c>
      <c r="P62" s="36">
        <f t="shared" si="10"/>
        <v>76</v>
      </c>
    </row>
    <row r="63" ht="15.75" customHeight="1">
      <c r="B63" s="29" t="s">
        <v>100</v>
      </c>
      <c r="C63" s="28" t="s">
        <v>51</v>
      </c>
      <c r="D63" s="58" t="s">
        <v>334</v>
      </c>
      <c r="E63" s="239">
        <f t="shared" si="4"/>
        <v>1</v>
      </c>
      <c r="F63" s="247">
        <v>1.0</v>
      </c>
      <c r="G63" s="247" t="s">
        <v>19</v>
      </c>
      <c r="H63" s="28">
        <v>2024.0</v>
      </c>
      <c r="I63" s="29">
        <f t="shared" si="11"/>
        <v>1</v>
      </c>
      <c r="J63" s="36">
        <v>17.0</v>
      </c>
      <c r="K63" s="36">
        <f t="shared" si="5"/>
        <v>1</v>
      </c>
      <c r="L63" s="36">
        <f t="shared" si="6"/>
        <v>6</v>
      </c>
      <c r="M63" s="36">
        <f t="shared" si="7"/>
        <v>16</v>
      </c>
      <c r="N63" s="36">
        <f t="shared" si="8"/>
        <v>31</v>
      </c>
      <c r="O63" s="36">
        <f t="shared" si="9"/>
        <v>51</v>
      </c>
      <c r="P63" s="36">
        <f t="shared" si="10"/>
        <v>76</v>
      </c>
    </row>
    <row r="64" ht="15.75" customHeight="1">
      <c r="B64" s="29" t="s">
        <v>100</v>
      </c>
      <c r="C64" s="29" t="s">
        <v>60</v>
      </c>
      <c r="D64" s="59" t="s">
        <v>394</v>
      </c>
      <c r="E64" s="239">
        <f t="shared" si="4"/>
        <v>17</v>
      </c>
      <c r="F64" s="240">
        <v>2.0</v>
      </c>
      <c r="G64" s="240" t="s">
        <v>48</v>
      </c>
      <c r="H64" s="29">
        <v>2022.0</v>
      </c>
      <c r="I64" s="29">
        <f t="shared" si="11"/>
        <v>3</v>
      </c>
      <c r="J64" s="36"/>
      <c r="K64" s="36">
        <f t="shared" si="5"/>
        <v>2</v>
      </c>
      <c r="L64" s="36">
        <f t="shared" si="6"/>
        <v>7</v>
      </c>
      <c r="M64" s="36">
        <f t="shared" si="7"/>
        <v>17</v>
      </c>
      <c r="N64" s="36">
        <f t="shared" si="8"/>
        <v>32</v>
      </c>
      <c r="O64" s="36">
        <f t="shared" si="9"/>
        <v>52</v>
      </c>
      <c r="P64" s="36">
        <f t="shared" si="10"/>
        <v>77</v>
      </c>
    </row>
    <row r="65" ht="15.75" customHeight="1">
      <c r="B65" s="73" t="s">
        <v>100</v>
      </c>
      <c r="C65" s="29" t="s">
        <v>46</v>
      </c>
      <c r="D65" s="59" t="s">
        <v>104</v>
      </c>
      <c r="E65" s="239">
        <f t="shared" si="4"/>
        <v>6</v>
      </c>
      <c r="F65" s="240">
        <v>1.0</v>
      </c>
      <c r="G65" s="240" t="s">
        <v>48</v>
      </c>
      <c r="H65" s="29">
        <v>2023.0</v>
      </c>
      <c r="I65" s="29">
        <f t="shared" si="11"/>
        <v>2</v>
      </c>
      <c r="J65" s="36"/>
      <c r="K65" s="36">
        <f t="shared" si="5"/>
        <v>1</v>
      </c>
      <c r="L65" s="36">
        <f t="shared" si="6"/>
        <v>6</v>
      </c>
      <c r="M65" s="36">
        <f t="shared" si="7"/>
        <v>16</v>
      </c>
      <c r="N65" s="36">
        <f t="shared" si="8"/>
        <v>31</v>
      </c>
      <c r="O65" s="36">
        <f t="shared" si="9"/>
        <v>51</v>
      </c>
      <c r="P65" s="36">
        <f t="shared" si="10"/>
        <v>76</v>
      </c>
    </row>
    <row r="66" ht="15.75" customHeight="1">
      <c r="B66" s="29" t="s">
        <v>100</v>
      </c>
      <c r="C66" s="29" t="s">
        <v>46</v>
      </c>
      <c r="D66" s="59" t="s">
        <v>780</v>
      </c>
      <c r="E66" s="239">
        <f t="shared" si="4"/>
        <v>7</v>
      </c>
      <c r="F66" s="240">
        <v>2.0</v>
      </c>
      <c r="G66" s="240" t="s">
        <v>48</v>
      </c>
      <c r="H66" s="29">
        <v>2023.0</v>
      </c>
      <c r="I66" s="29">
        <f t="shared" si="11"/>
        <v>2</v>
      </c>
      <c r="J66" s="36"/>
      <c r="K66" s="36">
        <f t="shared" si="5"/>
        <v>2</v>
      </c>
      <c r="L66" s="36">
        <f t="shared" si="6"/>
        <v>7</v>
      </c>
      <c r="M66" s="36">
        <f t="shared" si="7"/>
        <v>17</v>
      </c>
      <c r="N66" s="36">
        <f t="shared" si="8"/>
        <v>32</v>
      </c>
      <c r="O66" s="36">
        <f t="shared" si="9"/>
        <v>52</v>
      </c>
      <c r="P66" s="36">
        <f t="shared" si="10"/>
        <v>77</v>
      </c>
    </row>
    <row r="67" ht="15.75" customHeight="1">
      <c r="B67" s="73" t="s">
        <v>100</v>
      </c>
      <c r="C67" s="29" t="s">
        <v>46</v>
      </c>
      <c r="D67" s="59" t="s">
        <v>189</v>
      </c>
      <c r="E67" s="239">
        <f t="shared" si="4"/>
        <v>7</v>
      </c>
      <c r="F67" s="240">
        <v>2.0</v>
      </c>
      <c r="G67" s="240" t="s">
        <v>48</v>
      </c>
      <c r="H67" s="29">
        <v>2023.0</v>
      </c>
      <c r="I67" s="29">
        <f t="shared" si="11"/>
        <v>2</v>
      </c>
      <c r="J67" s="36"/>
      <c r="K67" s="36">
        <f t="shared" si="5"/>
        <v>2</v>
      </c>
      <c r="L67" s="36">
        <f t="shared" si="6"/>
        <v>7</v>
      </c>
      <c r="M67" s="36">
        <f t="shared" si="7"/>
        <v>17</v>
      </c>
      <c r="N67" s="36">
        <f t="shared" si="8"/>
        <v>32</v>
      </c>
      <c r="O67" s="36">
        <f t="shared" si="9"/>
        <v>52</v>
      </c>
      <c r="P67" s="36">
        <f t="shared" si="10"/>
        <v>77</v>
      </c>
    </row>
    <row r="68" ht="15.75" customHeight="1">
      <c r="B68" s="29" t="s">
        <v>100</v>
      </c>
      <c r="C68" s="29" t="s">
        <v>46</v>
      </c>
      <c r="D68" s="59" t="s">
        <v>49</v>
      </c>
      <c r="E68" s="239">
        <f t="shared" si="4"/>
        <v>30</v>
      </c>
      <c r="F68" s="240">
        <v>15.0</v>
      </c>
      <c r="G68" s="240" t="s">
        <v>48</v>
      </c>
      <c r="H68" s="29">
        <v>2022.0</v>
      </c>
      <c r="I68" s="29">
        <f t="shared" si="11"/>
        <v>3</v>
      </c>
      <c r="J68" s="36"/>
      <c r="K68" s="36">
        <f t="shared" si="5"/>
        <v>15</v>
      </c>
      <c r="L68" s="36">
        <f t="shared" si="6"/>
        <v>20</v>
      </c>
      <c r="M68" s="36">
        <f t="shared" si="7"/>
        <v>30</v>
      </c>
      <c r="N68" s="36">
        <f t="shared" si="8"/>
        <v>45</v>
      </c>
      <c r="O68" s="36">
        <f t="shared" si="9"/>
        <v>65</v>
      </c>
      <c r="P68" s="36">
        <f t="shared" si="10"/>
        <v>90</v>
      </c>
    </row>
    <row r="69">
      <c r="B69" s="29" t="s">
        <v>100</v>
      </c>
      <c r="C69" s="248" t="s">
        <v>46</v>
      </c>
      <c r="D69" s="249" t="s">
        <v>781</v>
      </c>
      <c r="E69" s="239">
        <f t="shared" si="4"/>
        <v>7</v>
      </c>
      <c r="F69" s="240">
        <v>2.0</v>
      </c>
      <c r="G69" s="240" t="s">
        <v>765</v>
      </c>
      <c r="H69" s="29">
        <v>2023.0</v>
      </c>
      <c r="I69" s="29">
        <f t="shared" si="11"/>
        <v>2</v>
      </c>
      <c r="J69" s="36"/>
      <c r="K69" s="36">
        <f t="shared" si="5"/>
        <v>2</v>
      </c>
      <c r="L69" s="36">
        <f t="shared" si="6"/>
        <v>7</v>
      </c>
      <c r="M69" s="36">
        <f t="shared" si="7"/>
        <v>17</v>
      </c>
      <c r="N69" s="36">
        <f t="shared" si="8"/>
        <v>32</v>
      </c>
      <c r="O69" s="36">
        <f t="shared" si="9"/>
        <v>52</v>
      </c>
      <c r="P69" s="36">
        <f t="shared" si="10"/>
        <v>77</v>
      </c>
    </row>
    <row r="70" ht="15.75" customHeight="1">
      <c r="B70" s="29" t="s">
        <v>100</v>
      </c>
      <c r="C70" s="248" t="s">
        <v>46</v>
      </c>
      <c r="D70" s="249" t="s">
        <v>287</v>
      </c>
      <c r="E70" s="239">
        <f t="shared" si="4"/>
        <v>7</v>
      </c>
      <c r="F70" s="240">
        <v>2.0</v>
      </c>
      <c r="G70" s="240" t="s">
        <v>765</v>
      </c>
      <c r="H70" s="29">
        <v>2023.0</v>
      </c>
      <c r="I70" s="29">
        <f t="shared" si="11"/>
        <v>2</v>
      </c>
      <c r="J70" s="36"/>
      <c r="K70" s="36">
        <f t="shared" si="5"/>
        <v>2</v>
      </c>
      <c r="L70" s="36">
        <f t="shared" si="6"/>
        <v>7</v>
      </c>
      <c r="M70" s="36">
        <f t="shared" si="7"/>
        <v>17</v>
      </c>
      <c r="N70" s="36">
        <f t="shared" si="8"/>
        <v>32</v>
      </c>
      <c r="O70" s="36">
        <f t="shared" si="9"/>
        <v>52</v>
      </c>
      <c r="P70" s="36">
        <f t="shared" si="10"/>
        <v>77</v>
      </c>
    </row>
    <row r="71" ht="15.75" customHeight="1">
      <c r="B71" s="29" t="s">
        <v>100</v>
      </c>
      <c r="C71" s="248" t="s">
        <v>46</v>
      </c>
      <c r="D71" s="249" t="s">
        <v>59</v>
      </c>
      <c r="E71" s="239">
        <f t="shared" si="4"/>
        <v>7</v>
      </c>
      <c r="F71" s="250">
        <v>2.0</v>
      </c>
      <c r="G71" s="240" t="s">
        <v>765</v>
      </c>
      <c r="H71" s="248">
        <v>2023.0</v>
      </c>
      <c r="I71" s="29">
        <f t="shared" si="11"/>
        <v>2</v>
      </c>
      <c r="J71" s="36"/>
      <c r="K71" s="36">
        <f t="shared" si="5"/>
        <v>2</v>
      </c>
      <c r="L71" s="36">
        <f t="shared" si="6"/>
        <v>7</v>
      </c>
      <c r="M71" s="36">
        <f t="shared" si="7"/>
        <v>17</v>
      </c>
      <c r="N71" s="36">
        <f t="shared" si="8"/>
        <v>32</v>
      </c>
      <c r="O71" s="36">
        <f t="shared" si="9"/>
        <v>52</v>
      </c>
      <c r="P71" s="36">
        <f t="shared" si="10"/>
        <v>77</v>
      </c>
    </row>
    <row r="72" ht="15.75" customHeight="1">
      <c r="B72" s="29" t="s">
        <v>100</v>
      </c>
      <c r="C72" s="251" t="s">
        <v>46</v>
      </c>
      <c r="D72" s="252" t="s">
        <v>202</v>
      </c>
      <c r="E72" s="239">
        <f t="shared" si="4"/>
        <v>2</v>
      </c>
      <c r="F72" s="253">
        <v>2.0</v>
      </c>
      <c r="G72" s="247" t="s">
        <v>19</v>
      </c>
      <c r="H72" s="251">
        <v>2024.0</v>
      </c>
      <c r="I72" s="29">
        <f t="shared" si="11"/>
        <v>1</v>
      </c>
      <c r="J72" s="36">
        <v>17.0</v>
      </c>
      <c r="K72" s="36">
        <f t="shared" si="5"/>
        <v>2</v>
      </c>
      <c r="L72" s="36">
        <f t="shared" si="6"/>
        <v>7</v>
      </c>
      <c r="M72" s="36">
        <f t="shared" si="7"/>
        <v>17</v>
      </c>
      <c r="N72" s="36">
        <f t="shared" si="8"/>
        <v>32</v>
      </c>
      <c r="O72" s="36">
        <f t="shared" si="9"/>
        <v>52</v>
      </c>
      <c r="P72" s="36">
        <f t="shared" si="10"/>
        <v>77</v>
      </c>
    </row>
    <row r="73" ht="15.75" customHeight="1">
      <c r="B73" s="29" t="s">
        <v>100</v>
      </c>
      <c r="C73" s="251" t="s">
        <v>46</v>
      </c>
      <c r="D73" s="252" t="s">
        <v>107</v>
      </c>
      <c r="E73" s="239">
        <f t="shared" si="4"/>
        <v>2</v>
      </c>
      <c r="F73" s="253">
        <v>2.0</v>
      </c>
      <c r="G73" s="247" t="s">
        <v>19</v>
      </c>
      <c r="H73" s="251">
        <v>2024.0</v>
      </c>
      <c r="I73" s="29">
        <f t="shared" si="11"/>
        <v>1</v>
      </c>
      <c r="J73" s="36">
        <v>17.0</v>
      </c>
      <c r="K73" s="36">
        <f t="shared" si="5"/>
        <v>2</v>
      </c>
      <c r="L73" s="36">
        <f t="shared" si="6"/>
        <v>7</v>
      </c>
      <c r="M73" s="36">
        <f t="shared" si="7"/>
        <v>17</v>
      </c>
      <c r="N73" s="36">
        <f t="shared" si="8"/>
        <v>32</v>
      </c>
      <c r="O73" s="36">
        <f t="shared" si="9"/>
        <v>52</v>
      </c>
      <c r="P73" s="36">
        <f t="shared" si="10"/>
        <v>77</v>
      </c>
    </row>
    <row r="74" ht="15.75" customHeight="1">
      <c r="B74" s="28" t="s">
        <v>100</v>
      </c>
      <c r="C74" s="248" t="s">
        <v>51</v>
      </c>
      <c r="D74" s="249" t="s">
        <v>346</v>
      </c>
      <c r="E74" s="239">
        <f t="shared" si="4"/>
        <v>62</v>
      </c>
      <c r="F74" s="250">
        <v>12.0</v>
      </c>
      <c r="G74" s="240" t="s">
        <v>48</v>
      </c>
      <c r="H74" s="248">
        <v>2020.0</v>
      </c>
      <c r="I74" s="29">
        <f t="shared" si="11"/>
        <v>5</v>
      </c>
      <c r="J74" s="36"/>
      <c r="K74" s="36">
        <f t="shared" si="5"/>
        <v>12</v>
      </c>
      <c r="L74" s="36">
        <f t="shared" si="6"/>
        <v>17</v>
      </c>
      <c r="M74" s="36">
        <f t="shared" si="7"/>
        <v>27</v>
      </c>
      <c r="N74" s="36">
        <f t="shared" si="8"/>
        <v>42</v>
      </c>
      <c r="O74" s="36">
        <f t="shared" si="9"/>
        <v>62</v>
      </c>
      <c r="P74" s="36">
        <f t="shared" si="10"/>
        <v>87</v>
      </c>
    </row>
    <row r="75" ht="15.75" customHeight="1">
      <c r="B75" s="28" t="s">
        <v>125</v>
      </c>
      <c r="C75" s="29" t="s">
        <v>51</v>
      </c>
      <c r="D75" s="249" t="s">
        <v>383</v>
      </c>
      <c r="E75" s="239">
        <f t="shared" si="4"/>
        <v>6</v>
      </c>
      <c r="F75" s="250">
        <v>1.0</v>
      </c>
      <c r="G75" s="240" t="s">
        <v>48</v>
      </c>
      <c r="H75" s="248">
        <v>2023.0</v>
      </c>
      <c r="I75" s="29">
        <f t="shared" si="11"/>
        <v>2</v>
      </c>
      <c r="J75" s="36"/>
      <c r="K75" s="36">
        <f t="shared" si="5"/>
        <v>1</v>
      </c>
      <c r="L75" s="36">
        <f t="shared" si="6"/>
        <v>6</v>
      </c>
      <c r="M75" s="36">
        <f t="shared" si="7"/>
        <v>16</v>
      </c>
      <c r="N75" s="36">
        <f t="shared" si="8"/>
        <v>31</v>
      </c>
      <c r="O75" s="36">
        <f t="shared" si="9"/>
        <v>51</v>
      </c>
      <c r="P75" s="36">
        <f t="shared" si="10"/>
        <v>76</v>
      </c>
    </row>
    <row r="76" ht="15.75" customHeight="1">
      <c r="B76" s="29" t="s">
        <v>125</v>
      </c>
      <c r="C76" s="29" t="s">
        <v>760</v>
      </c>
      <c r="D76" s="249" t="s">
        <v>760</v>
      </c>
      <c r="E76" s="239">
        <f t="shared" si="4"/>
        <v>6</v>
      </c>
      <c r="F76" s="250"/>
      <c r="G76" s="240" t="s">
        <v>48</v>
      </c>
      <c r="H76" s="248">
        <v>2023.0</v>
      </c>
      <c r="I76" s="29">
        <f t="shared" si="11"/>
        <v>2</v>
      </c>
      <c r="J76" s="36"/>
      <c r="K76" s="36">
        <f t="shared" si="5"/>
        <v>1</v>
      </c>
      <c r="L76" s="36">
        <f t="shared" si="6"/>
        <v>6</v>
      </c>
      <c r="M76" s="36">
        <f t="shared" si="7"/>
        <v>16</v>
      </c>
      <c r="N76" s="36">
        <f t="shared" si="8"/>
        <v>31</v>
      </c>
      <c r="O76" s="36">
        <f t="shared" si="9"/>
        <v>51</v>
      </c>
      <c r="P76" s="36">
        <f t="shared" si="10"/>
        <v>76</v>
      </c>
    </row>
    <row r="77" ht="15.75" customHeight="1">
      <c r="B77" s="29" t="s">
        <v>125</v>
      </c>
      <c r="C77" s="29" t="s">
        <v>55</v>
      </c>
      <c r="D77" s="249" t="s">
        <v>161</v>
      </c>
      <c r="E77" s="239">
        <f t="shared" si="4"/>
        <v>39</v>
      </c>
      <c r="F77" s="250">
        <v>34.0</v>
      </c>
      <c r="G77" s="240" t="s">
        <v>48</v>
      </c>
      <c r="H77" s="248">
        <v>2023.0</v>
      </c>
      <c r="I77" s="29">
        <f t="shared" si="11"/>
        <v>2</v>
      </c>
      <c r="J77" s="36"/>
      <c r="K77" s="36">
        <f t="shared" si="5"/>
        <v>34</v>
      </c>
      <c r="L77" s="36">
        <f t="shared" si="6"/>
        <v>39</v>
      </c>
      <c r="M77" s="36">
        <f t="shared" si="7"/>
        <v>49</v>
      </c>
      <c r="N77" s="36">
        <f t="shared" si="8"/>
        <v>64</v>
      </c>
      <c r="O77" s="36">
        <f t="shared" si="9"/>
        <v>84</v>
      </c>
      <c r="P77" s="36">
        <f t="shared" si="10"/>
        <v>109</v>
      </c>
    </row>
    <row r="78" ht="15.75" customHeight="1">
      <c r="B78" s="29" t="s">
        <v>125</v>
      </c>
      <c r="C78" s="29" t="s">
        <v>55</v>
      </c>
      <c r="D78" s="249" t="s">
        <v>252</v>
      </c>
      <c r="E78" s="239">
        <f t="shared" si="4"/>
        <v>17</v>
      </c>
      <c r="F78" s="250">
        <v>2.0</v>
      </c>
      <c r="G78" s="240" t="s">
        <v>48</v>
      </c>
      <c r="H78" s="248">
        <v>2022.0</v>
      </c>
      <c r="I78" s="29">
        <f t="shared" si="11"/>
        <v>3</v>
      </c>
      <c r="J78" s="36"/>
      <c r="K78" s="36">
        <f t="shared" si="5"/>
        <v>2</v>
      </c>
      <c r="L78" s="36">
        <f t="shared" si="6"/>
        <v>7</v>
      </c>
      <c r="M78" s="36">
        <f t="shared" si="7"/>
        <v>17</v>
      </c>
      <c r="N78" s="36">
        <f t="shared" si="8"/>
        <v>32</v>
      </c>
      <c r="O78" s="36">
        <f t="shared" si="9"/>
        <v>52</v>
      </c>
      <c r="P78" s="36">
        <f t="shared" si="10"/>
        <v>77</v>
      </c>
    </row>
    <row r="79" ht="15.75" customHeight="1">
      <c r="B79" s="29" t="s">
        <v>125</v>
      </c>
      <c r="C79" s="29" t="s">
        <v>55</v>
      </c>
      <c r="D79" s="249" t="s">
        <v>387</v>
      </c>
      <c r="E79" s="239">
        <f t="shared" si="4"/>
        <v>7</v>
      </c>
      <c r="F79" s="240">
        <v>2.0</v>
      </c>
      <c r="G79" s="240" t="s">
        <v>765</v>
      </c>
      <c r="H79" s="29">
        <v>2023.0</v>
      </c>
      <c r="I79" s="254">
        <f t="shared" si="11"/>
        <v>2</v>
      </c>
      <c r="J79" s="36"/>
      <c r="K79" s="36">
        <f t="shared" si="5"/>
        <v>2</v>
      </c>
      <c r="L79" s="36">
        <f t="shared" si="6"/>
        <v>7</v>
      </c>
      <c r="M79" s="36">
        <f t="shared" si="7"/>
        <v>17</v>
      </c>
      <c r="N79" s="36">
        <f t="shared" si="8"/>
        <v>32</v>
      </c>
      <c r="O79" s="36">
        <f t="shared" si="9"/>
        <v>52</v>
      </c>
      <c r="P79" s="36">
        <f t="shared" si="10"/>
        <v>77</v>
      </c>
    </row>
    <row r="80" ht="15.75" customHeight="1">
      <c r="B80" s="28" t="s">
        <v>125</v>
      </c>
      <c r="C80" s="29" t="s">
        <v>51</v>
      </c>
      <c r="D80" s="249" t="s">
        <v>336</v>
      </c>
      <c r="E80" s="239">
        <f t="shared" si="4"/>
        <v>10</v>
      </c>
      <c r="F80" s="250">
        <v>5.0</v>
      </c>
      <c r="G80" s="240" t="s">
        <v>48</v>
      </c>
      <c r="H80" s="255">
        <v>2023.0</v>
      </c>
      <c r="I80" s="29">
        <f t="shared" si="11"/>
        <v>2</v>
      </c>
      <c r="J80" s="36"/>
      <c r="K80" s="36">
        <f t="shared" si="5"/>
        <v>5</v>
      </c>
      <c r="L80" s="36">
        <f t="shared" si="6"/>
        <v>10</v>
      </c>
      <c r="M80" s="36">
        <f t="shared" si="7"/>
        <v>20</v>
      </c>
      <c r="N80" s="36">
        <f t="shared" si="8"/>
        <v>35</v>
      </c>
      <c r="O80" s="36">
        <f t="shared" si="9"/>
        <v>55</v>
      </c>
      <c r="P80" s="36">
        <f t="shared" si="10"/>
        <v>80</v>
      </c>
    </row>
    <row r="81" ht="15.75" customHeight="1">
      <c r="B81" s="29" t="s">
        <v>125</v>
      </c>
      <c r="C81" s="29" t="s">
        <v>51</v>
      </c>
      <c r="D81" s="59" t="s">
        <v>354</v>
      </c>
      <c r="E81" s="239">
        <f t="shared" si="4"/>
        <v>17</v>
      </c>
      <c r="F81" s="240">
        <v>2.0</v>
      </c>
      <c r="G81" s="240" t="s">
        <v>48</v>
      </c>
      <c r="H81" s="255">
        <v>2022.0</v>
      </c>
      <c r="I81" s="29">
        <f t="shared" si="11"/>
        <v>3</v>
      </c>
      <c r="J81" s="36"/>
      <c r="K81" s="36">
        <f t="shared" si="5"/>
        <v>2</v>
      </c>
      <c r="L81" s="36">
        <f t="shared" si="6"/>
        <v>7</v>
      </c>
      <c r="M81" s="36">
        <f t="shared" si="7"/>
        <v>17</v>
      </c>
      <c r="N81" s="36">
        <f t="shared" si="8"/>
        <v>32</v>
      </c>
      <c r="O81" s="36">
        <f t="shared" si="9"/>
        <v>52</v>
      </c>
      <c r="P81" s="36">
        <f t="shared" si="10"/>
        <v>77</v>
      </c>
    </row>
    <row r="82" ht="15.75" customHeight="1">
      <c r="B82" s="73" t="s">
        <v>125</v>
      </c>
      <c r="C82" s="29" t="s">
        <v>51</v>
      </c>
      <c r="D82" s="249" t="s">
        <v>324</v>
      </c>
      <c r="E82" s="239">
        <f t="shared" si="4"/>
        <v>6</v>
      </c>
      <c r="F82" s="240">
        <v>1.0</v>
      </c>
      <c r="G82" s="240" t="s">
        <v>48</v>
      </c>
      <c r="H82" s="254">
        <v>2023.0</v>
      </c>
      <c r="I82" s="29">
        <f t="shared" si="11"/>
        <v>2</v>
      </c>
      <c r="J82" s="36"/>
      <c r="K82" s="36">
        <f t="shared" si="5"/>
        <v>1</v>
      </c>
      <c r="L82" s="36">
        <f t="shared" si="6"/>
        <v>6</v>
      </c>
      <c r="M82" s="36">
        <f t="shared" si="7"/>
        <v>16</v>
      </c>
      <c r="N82" s="36">
        <f t="shared" si="8"/>
        <v>31</v>
      </c>
      <c r="O82" s="36">
        <f t="shared" si="9"/>
        <v>51</v>
      </c>
      <c r="P82" s="36">
        <f t="shared" si="10"/>
        <v>76</v>
      </c>
    </row>
    <row r="83" ht="15.75" customHeight="1">
      <c r="B83" s="73" t="s">
        <v>125</v>
      </c>
      <c r="C83" s="29" t="s">
        <v>51</v>
      </c>
      <c r="D83" s="249" t="s">
        <v>782</v>
      </c>
      <c r="E83" s="239">
        <f t="shared" si="4"/>
        <v>6</v>
      </c>
      <c r="F83" s="256">
        <v>1.0</v>
      </c>
      <c r="G83" s="240" t="s">
        <v>48</v>
      </c>
      <c r="H83" s="29">
        <v>2023.0</v>
      </c>
      <c r="I83" s="29">
        <f t="shared" si="11"/>
        <v>2</v>
      </c>
      <c r="J83" s="36"/>
      <c r="K83" s="36">
        <f t="shared" si="5"/>
        <v>1</v>
      </c>
      <c r="L83" s="36">
        <f t="shared" si="6"/>
        <v>6</v>
      </c>
      <c r="M83" s="36">
        <f t="shared" si="7"/>
        <v>16</v>
      </c>
      <c r="N83" s="36">
        <f t="shared" si="8"/>
        <v>31</v>
      </c>
      <c r="O83" s="36">
        <f t="shared" si="9"/>
        <v>51</v>
      </c>
      <c r="P83" s="36">
        <f t="shared" si="10"/>
        <v>76</v>
      </c>
    </row>
    <row r="84" ht="15.75" customHeight="1">
      <c r="B84" s="29" t="s">
        <v>125</v>
      </c>
      <c r="C84" s="29" t="s">
        <v>51</v>
      </c>
      <c r="D84" s="249" t="s">
        <v>313</v>
      </c>
      <c r="E84" s="239">
        <f t="shared" si="4"/>
        <v>34</v>
      </c>
      <c r="F84" s="250">
        <v>4.0</v>
      </c>
      <c r="G84" s="240" t="s">
        <v>48</v>
      </c>
      <c r="H84" s="29">
        <v>2021.0</v>
      </c>
      <c r="I84" s="29">
        <f t="shared" si="11"/>
        <v>4</v>
      </c>
      <c r="J84" s="36"/>
      <c r="K84" s="36">
        <f t="shared" si="5"/>
        <v>4</v>
      </c>
      <c r="L84" s="36">
        <f t="shared" si="6"/>
        <v>9</v>
      </c>
      <c r="M84" s="36">
        <f t="shared" si="7"/>
        <v>19</v>
      </c>
      <c r="N84" s="36">
        <f t="shared" si="8"/>
        <v>34</v>
      </c>
      <c r="O84" s="36">
        <f t="shared" si="9"/>
        <v>54</v>
      </c>
      <c r="P84" s="36">
        <f t="shared" si="10"/>
        <v>79</v>
      </c>
    </row>
    <row r="85" ht="15.75" customHeight="1">
      <c r="B85" s="29" t="s">
        <v>125</v>
      </c>
      <c r="C85" s="29" t="s">
        <v>51</v>
      </c>
      <c r="D85" s="249" t="s">
        <v>783</v>
      </c>
      <c r="E85" s="239">
        <f t="shared" si="4"/>
        <v>6</v>
      </c>
      <c r="F85" s="250">
        <v>1.0</v>
      </c>
      <c r="G85" s="240" t="s">
        <v>48</v>
      </c>
      <c r="H85" s="29">
        <v>2023.0</v>
      </c>
      <c r="I85" s="29">
        <f t="shared" si="11"/>
        <v>2</v>
      </c>
      <c r="J85" s="36"/>
      <c r="K85" s="36">
        <f t="shared" si="5"/>
        <v>1</v>
      </c>
      <c r="L85" s="36">
        <f t="shared" si="6"/>
        <v>6</v>
      </c>
      <c r="M85" s="36">
        <f t="shared" si="7"/>
        <v>16</v>
      </c>
      <c r="N85" s="36">
        <f t="shared" si="8"/>
        <v>31</v>
      </c>
      <c r="O85" s="36">
        <f t="shared" si="9"/>
        <v>51</v>
      </c>
      <c r="P85" s="36">
        <f t="shared" si="10"/>
        <v>76</v>
      </c>
    </row>
    <row r="86" ht="15.75" customHeight="1">
      <c r="B86" s="29" t="s">
        <v>125</v>
      </c>
      <c r="C86" s="29" t="s">
        <v>51</v>
      </c>
      <c r="D86" s="59" t="s">
        <v>784</v>
      </c>
      <c r="E86" s="239">
        <f t="shared" si="4"/>
        <v>7</v>
      </c>
      <c r="F86" s="250">
        <v>2.0</v>
      </c>
      <c r="G86" s="240" t="s">
        <v>765</v>
      </c>
      <c r="H86" s="29">
        <v>2023.0</v>
      </c>
      <c r="I86" s="29">
        <f t="shared" si="11"/>
        <v>2</v>
      </c>
      <c r="J86" s="36"/>
      <c r="K86" s="36">
        <f t="shared" si="5"/>
        <v>2</v>
      </c>
      <c r="L86" s="36">
        <f t="shared" si="6"/>
        <v>7</v>
      </c>
      <c r="M86" s="36">
        <f t="shared" si="7"/>
        <v>17</v>
      </c>
      <c r="N86" s="36">
        <f t="shared" si="8"/>
        <v>32</v>
      </c>
      <c r="O86" s="36">
        <f t="shared" si="9"/>
        <v>52</v>
      </c>
      <c r="P86" s="36">
        <f t="shared" si="10"/>
        <v>77</v>
      </c>
    </row>
    <row r="87" ht="15.75" customHeight="1">
      <c r="B87" s="73" t="s">
        <v>125</v>
      </c>
      <c r="C87" s="29" t="s">
        <v>51</v>
      </c>
      <c r="D87" s="249" t="s">
        <v>84</v>
      </c>
      <c r="E87" s="239">
        <f t="shared" si="4"/>
        <v>7</v>
      </c>
      <c r="F87" s="250">
        <v>2.0</v>
      </c>
      <c r="G87" s="240" t="s">
        <v>765</v>
      </c>
      <c r="H87" s="248">
        <v>2023.0</v>
      </c>
      <c r="I87" s="29">
        <f t="shared" si="11"/>
        <v>2</v>
      </c>
      <c r="J87" s="36"/>
      <c r="K87" s="36">
        <f t="shared" si="5"/>
        <v>2</v>
      </c>
      <c r="L87" s="36">
        <f t="shared" si="6"/>
        <v>7</v>
      </c>
      <c r="M87" s="36">
        <f t="shared" si="7"/>
        <v>17</v>
      </c>
      <c r="N87" s="36">
        <f t="shared" si="8"/>
        <v>32</v>
      </c>
      <c r="O87" s="36">
        <f t="shared" si="9"/>
        <v>52</v>
      </c>
      <c r="P87" s="36">
        <f t="shared" si="10"/>
        <v>77</v>
      </c>
    </row>
    <row r="88" ht="15.75" customHeight="1">
      <c r="B88" s="73" t="s">
        <v>125</v>
      </c>
      <c r="C88" s="29" t="s">
        <v>60</v>
      </c>
      <c r="D88" s="249" t="s">
        <v>254</v>
      </c>
      <c r="E88" s="239">
        <f t="shared" si="4"/>
        <v>6</v>
      </c>
      <c r="F88" s="250">
        <v>1.0</v>
      </c>
      <c r="G88" s="240" t="s">
        <v>48</v>
      </c>
      <c r="H88" s="248">
        <v>2023.0</v>
      </c>
      <c r="I88" s="29">
        <f t="shared" si="11"/>
        <v>2</v>
      </c>
      <c r="J88" s="36"/>
      <c r="K88" s="36">
        <f t="shared" si="5"/>
        <v>1</v>
      </c>
      <c r="L88" s="36">
        <f t="shared" si="6"/>
        <v>6</v>
      </c>
      <c r="M88" s="36">
        <f t="shared" si="7"/>
        <v>16</v>
      </c>
      <c r="N88" s="36">
        <f t="shared" si="8"/>
        <v>31</v>
      </c>
      <c r="O88" s="36">
        <f t="shared" si="9"/>
        <v>51</v>
      </c>
      <c r="P88" s="36">
        <f t="shared" si="10"/>
        <v>76</v>
      </c>
    </row>
    <row r="89" ht="15.75" customHeight="1">
      <c r="B89" s="29" t="s">
        <v>125</v>
      </c>
      <c r="C89" s="29" t="s">
        <v>60</v>
      </c>
      <c r="D89" s="249" t="s">
        <v>355</v>
      </c>
      <c r="E89" s="239">
        <f t="shared" si="4"/>
        <v>25</v>
      </c>
      <c r="F89" s="250">
        <v>20.0</v>
      </c>
      <c r="G89" s="240" t="s">
        <v>48</v>
      </c>
      <c r="H89" s="29">
        <v>2023.0</v>
      </c>
      <c r="I89" s="29">
        <f t="shared" si="11"/>
        <v>2</v>
      </c>
      <c r="J89" s="36"/>
      <c r="K89" s="36">
        <f t="shared" si="5"/>
        <v>20</v>
      </c>
      <c r="L89" s="36">
        <f t="shared" si="6"/>
        <v>25</v>
      </c>
      <c r="M89" s="36">
        <f t="shared" si="7"/>
        <v>35</v>
      </c>
      <c r="N89" s="36">
        <f t="shared" si="8"/>
        <v>50</v>
      </c>
      <c r="O89" s="36">
        <f t="shared" si="9"/>
        <v>70</v>
      </c>
      <c r="P89" s="36">
        <f t="shared" si="10"/>
        <v>95</v>
      </c>
    </row>
    <row r="90" ht="15.75" customHeight="1">
      <c r="B90" s="29" t="s">
        <v>125</v>
      </c>
      <c r="C90" s="50" t="s">
        <v>46</v>
      </c>
      <c r="D90" s="249" t="s">
        <v>80</v>
      </c>
      <c r="E90" s="239">
        <f t="shared" si="4"/>
        <v>32</v>
      </c>
      <c r="F90" s="250">
        <v>2.0</v>
      </c>
      <c r="G90" s="240" t="s">
        <v>48</v>
      </c>
      <c r="H90" s="29">
        <v>2021.0</v>
      </c>
      <c r="I90" s="29">
        <f t="shared" si="11"/>
        <v>4</v>
      </c>
      <c r="J90" s="36"/>
      <c r="K90" s="36">
        <f t="shared" si="5"/>
        <v>2</v>
      </c>
      <c r="L90" s="36">
        <f t="shared" si="6"/>
        <v>7</v>
      </c>
      <c r="M90" s="36">
        <f t="shared" si="7"/>
        <v>17</v>
      </c>
      <c r="N90" s="36">
        <f t="shared" si="8"/>
        <v>32</v>
      </c>
      <c r="O90" s="36">
        <f t="shared" si="9"/>
        <v>52</v>
      </c>
      <c r="P90" s="36">
        <f t="shared" si="10"/>
        <v>77</v>
      </c>
    </row>
    <row r="91" ht="15.75" customHeight="1">
      <c r="B91" s="29" t="s">
        <v>125</v>
      </c>
      <c r="C91" s="29" t="s">
        <v>46</v>
      </c>
      <c r="D91" s="249" t="s">
        <v>85</v>
      </c>
      <c r="E91" s="239">
        <f t="shared" si="4"/>
        <v>19</v>
      </c>
      <c r="F91" s="250">
        <v>14.0</v>
      </c>
      <c r="G91" s="240" t="s">
        <v>48</v>
      </c>
      <c r="H91" s="29">
        <v>2023.0</v>
      </c>
      <c r="I91" s="29">
        <f t="shared" si="11"/>
        <v>2</v>
      </c>
      <c r="J91" s="36"/>
      <c r="K91" s="36">
        <f t="shared" si="5"/>
        <v>14</v>
      </c>
      <c r="L91" s="36">
        <f t="shared" si="6"/>
        <v>19</v>
      </c>
      <c r="M91" s="36">
        <f t="shared" si="7"/>
        <v>29</v>
      </c>
      <c r="N91" s="36">
        <f t="shared" si="8"/>
        <v>44</v>
      </c>
      <c r="O91" s="36">
        <f t="shared" si="9"/>
        <v>64</v>
      </c>
      <c r="P91" s="36">
        <f t="shared" si="10"/>
        <v>89</v>
      </c>
    </row>
    <row r="92" ht="15.75" customHeight="1">
      <c r="B92" s="29" t="s">
        <v>125</v>
      </c>
      <c r="C92" s="29" t="s">
        <v>46</v>
      </c>
      <c r="D92" s="249" t="s">
        <v>144</v>
      </c>
      <c r="E92" s="239">
        <f t="shared" si="4"/>
        <v>17</v>
      </c>
      <c r="F92" s="250">
        <v>2.0</v>
      </c>
      <c r="G92" s="240" t="s">
        <v>48</v>
      </c>
      <c r="H92" s="29">
        <v>2022.0</v>
      </c>
      <c r="I92" s="29">
        <f t="shared" si="11"/>
        <v>3</v>
      </c>
      <c r="J92" s="36"/>
      <c r="K92" s="36">
        <f t="shared" si="5"/>
        <v>2</v>
      </c>
      <c r="L92" s="36">
        <f t="shared" si="6"/>
        <v>7</v>
      </c>
      <c r="M92" s="36">
        <f t="shared" si="7"/>
        <v>17</v>
      </c>
      <c r="N92" s="36">
        <f t="shared" si="8"/>
        <v>32</v>
      </c>
      <c r="O92" s="36">
        <f t="shared" si="9"/>
        <v>52</v>
      </c>
      <c r="P92" s="36">
        <f t="shared" si="10"/>
        <v>77</v>
      </c>
    </row>
    <row r="93" ht="15.75" customHeight="1">
      <c r="B93" s="29" t="s">
        <v>125</v>
      </c>
      <c r="C93" s="29" t="s">
        <v>46</v>
      </c>
      <c r="D93" s="249" t="s">
        <v>89</v>
      </c>
      <c r="E93" s="239">
        <f t="shared" si="4"/>
        <v>29</v>
      </c>
      <c r="F93" s="250">
        <v>24.0</v>
      </c>
      <c r="G93" s="240" t="s">
        <v>48</v>
      </c>
      <c r="H93" s="29">
        <v>2023.0</v>
      </c>
      <c r="I93" s="29">
        <f t="shared" si="11"/>
        <v>2</v>
      </c>
      <c r="J93" s="36"/>
      <c r="K93" s="36">
        <f t="shared" si="5"/>
        <v>24</v>
      </c>
      <c r="L93" s="36">
        <f t="shared" si="6"/>
        <v>29</v>
      </c>
      <c r="M93" s="36">
        <f t="shared" si="7"/>
        <v>39</v>
      </c>
      <c r="N93" s="36">
        <f t="shared" si="8"/>
        <v>54</v>
      </c>
      <c r="O93" s="36">
        <f t="shared" si="9"/>
        <v>74</v>
      </c>
      <c r="P93" s="36">
        <f t="shared" si="10"/>
        <v>99</v>
      </c>
    </row>
    <row r="94" ht="15.75" customHeight="1">
      <c r="B94" s="29" t="s">
        <v>125</v>
      </c>
      <c r="C94" s="28" t="s">
        <v>46</v>
      </c>
      <c r="D94" s="252" t="s">
        <v>693</v>
      </c>
      <c r="E94" s="239">
        <f t="shared" si="4"/>
        <v>1</v>
      </c>
      <c r="F94" s="253">
        <v>1.0</v>
      </c>
      <c r="G94" s="247" t="s">
        <v>19</v>
      </c>
      <c r="H94" s="28">
        <v>2024.0</v>
      </c>
      <c r="I94" s="29">
        <f t="shared" si="11"/>
        <v>1</v>
      </c>
      <c r="J94" s="36">
        <v>17.0</v>
      </c>
      <c r="K94" s="36">
        <f t="shared" si="5"/>
        <v>1</v>
      </c>
      <c r="L94" s="36">
        <f t="shared" si="6"/>
        <v>6</v>
      </c>
      <c r="M94" s="36">
        <f t="shared" si="7"/>
        <v>16</v>
      </c>
      <c r="N94" s="36">
        <f t="shared" si="8"/>
        <v>31</v>
      </c>
      <c r="O94" s="36">
        <f t="shared" si="9"/>
        <v>51</v>
      </c>
      <c r="P94" s="36">
        <f t="shared" si="10"/>
        <v>76</v>
      </c>
    </row>
    <row r="95" ht="15.75" customHeight="1">
      <c r="B95" s="29" t="s">
        <v>125</v>
      </c>
      <c r="C95" s="28" t="s">
        <v>46</v>
      </c>
      <c r="D95" s="252" t="s">
        <v>301</v>
      </c>
      <c r="E95" s="239">
        <f t="shared" si="4"/>
        <v>1</v>
      </c>
      <c r="F95" s="253">
        <v>1.0</v>
      </c>
      <c r="G95" s="247" t="s">
        <v>19</v>
      </c>
      <c r="H95" s="28">
        <v>2024.0</v>
      </c>
      <c r="I95" s="29">
        <f t="shared" si="11"/>
        <v>1</v>
      </c>
      <c r="J95" s="36">
        <v>17.0</v>
      </c>
      <c r="K95" s="36">
        <f t="shared" si="5"/>
        <v>1</v>
      </c>
      <c r="L95" s="36">
        <f t="shared" si="6"/>
        <v>6</v>
      </c>
      <c r="M95" s="36">
        <f t="shared" si="7"/>
        <v>16</v>
      </c>
      <c r="N95" s="36">
        <f t="shared" si="8"/>
        <v>31</v>
      </c>
      <c r="O95" s="36">
        <f t="shared" si="9"/>
        <v>51</v>
      </c>
      <c r="P95" s="36">
        <f t="shared" si="10"/>
        <v>76</v>
      </c>
    </row>
    <row r="96" ht="15.75" customHeight="1">
      <c r="B96" s="28" t="s">
        <v>125</v>
      </c>
      <c r="C96" s="29" t="s">
        <v>55</v>
      </c>
      <c r="D96" s="59" t="s">
        <v>379</v>
      </c>
      <c r="E96" s="239">
        <f t="shared" si="4"/>
        <v>7</v>
      </c>
      <c r="F96" s="250">
        <v>2.0</v>
      </c>
      <c r="G96" s="240" t="s">
        <v>765</v>
      </c>
      <c r="H96" s="29">
        <v>2023.0</v>
      </c>
      <c r="I96" s="29">
        <f t="shared" si="11"/>
        <v>2</v>
      </c>
      <c r="J96" s="36"/>
      <c r="K96" s="36">
        <f t="shared" si="5"/>
        <v>2</v>
      </c>
      <c r="L96" s="36">
        <f t="shared" si="6"/>
        <v>7</v>
      </c>
      <c r="M96" s="36">
        <f t="shared" si="7"/>
        <v>17</v>
      </c>
      <c r="N96" s="36">
        <f t="shared" si="8"/>
        <v>32</v>
      </c>
      <c r="O96" s="36">
        <f t="shared" si="9"/>
        <v>52</v>
      </c>
      <c r="P96" s="36">
        <f t="shared" si="10"/>
        <v>77</v>
      </c>
    </row>
    <row r="97" ht="15.75" customHeight="1">
      <c r="B97" s="76" t="s">
        <v>125</v>
      </c>
      <c r="C97" s="29" t="s">
        <v>55</v>
      </c>
      <c r="D97" s="249" t="s">
        <v>311</v>
      </c>
      <c r="E97" s="239">
        <f t="shared" si="4"/>
        <v>7</v>
      </c>
      <c r="F97" s="250">
        <v>2.0</v>
      </c>
      <c r="G97" s="240" t="s">
        <v>48</v>
      </c>
      <c r="H97" s="29">
        <v>2023.0</v>
      </c>
      <c r="I97" s="29">
        <f t="shared" si="11"/>
        <v>2</v>
      </c>
      <c r="J97" s="36"/>
      <c r="K97" s="36">
        <f t="shared" si="5"/>
        <v>2</v>
      </c>
      <c r="L97" s="36">
        <f t="shared" si="6"/>
        <v>7</v>
      </c>
      <c r="M97" s="36">
        <f t="shared" si="7"/>
        <v>17</v>
      </c>
      <c r="N97" s="36">
        <f t="shared" si="8"/>
        <v>32</v>
      </c>
      <c r="O97" s="36">
        <f t="shared" si="9"/>
        <v>52</v>
      </c>
      <c r="P97" s="36">
        <f t="shared" si="10"/>
        <v>77</v>
      </c>
    </row>
    <row r="98" ht="15.75" customHeight="1">
      <c r="B98" s="29" t="s">
        <v>152</v>
      </c>
      <c r="C98" s="29" t="s">
        <v>760</v>
      </c>
      <c r="D98" s="249" t="s">
        <v>760</v>
      </c>
      <c r="E98" s="239">
        <f t="shared" si="4"/>
        <v>6</v>
      </c>
      <c r="F98" s="250"/>
      <c r="G98" s="240" t="s">
        <v>48</v>
      </c>
      <c r="H98" s="29">
        <v>2023.0</v>
      </c>
      <c r="I98" s="29">
        <f t="shared" si="11"/>
        <v>2</v>
      </c>
      <c r="J98" s="36"/>
      <c r="K98" s="36">
        <f t="shared" si="5"/>
        <v>1</v>
      </c>
      <c r="L98" s="36">
        <f t="shared" si="6"/>
        <v>6</v>
      </c>
      <c r="M98" s="36">
        <f t="shared" si="7"/>
        <v>16</v>
      </c>
      <c r="N98" s="36">
        <f t="shared" si="8"/>
        <v>31</v>
      </c>
      <c r="O98" s="36">
        <f t="shared" si="9"/>
        <v>51</v>
      </c>
      <c r="P98" s="36">
        <f t="shared" si="10"/>
        <v>76</v>
      </c>
    </row>
    <row r="99" ht="15.75" customHeight="1">
      <c r="B99" s="29" t="s">
        <v>152</v>
      </c>
      <c r="C99" s="29" t="s">
        <v>55</v>
      </c>
      <c r="D99" s="249" t="s">
        <v>232</v>
      </c>
      <c r="E99" s="239">
        <f t="shared" si="4"/>
        <v>47</v>
      </c>
      <c r="F99" s="250">
        <v>32.0</v>
      </c>
      <c r="G99" s="240" t="s">
        <v>48</v>
      </c>
      <c r="H99" s="29">
        <v>2022.0</v>
      </c>
      <c r="I99" s="29">
        <f t="shared" si="11"/>
        <v>3</v>
      </c>
      <c r="J99" s="36"/>
      <c r="K99" s="36">
        <f t="shared" si="5"/>
        <v>32</v>
      </c>
      <c r="L99" s="36">
        <f t="shared" si="6"/>
        <v>37</v>
      </c>
      <c r="M99" s="36">
        <f t="shared" si="7"/>
        <v>47</v>
      </c>
      <c r="N99" s="36">
        <f t="shared" si="8"/>
        <v>62</v>
      </c>
      <c r="O99" s="36">
        <f t="shared" si="9"/>
        <v>82</v>
      </c>
      <c r="P99" s="36">
        <f t="shared" si="10"/>
        <v>107</v>
      </c>
    </row>
    <row r="100" ht="15.75" customHeight="1">
      <c r="B100" s="29" t="s">
        <v>152</v>
      </c>
      <c r="C100" s="50" t="s">
        <v>55</v>
      </c>
      <c r="D100" s="59" t="s">
        <v>376</v>
      </c>
      <c r="E100" s="239">
        <f t="shared" si="4"/>
        <v>35</v>
      </c>
      <c r="F100" s="250">
        <v>5.0</v>
      </c>
      <c r="G100" s="240" t="s">
        <v>48</v>
      </c>
      <c r="H100" s="248">
        <v>2021.0</v>
      </c>
      <c r="I100" s="29">
        <f t="shared" si="11"/>
        <v>4</v>
      </c>
      <c r="J100" s="36"/>
      <c r="K100" s="36">
        <f t="shared" si="5"/>
        <v>5</v>
      </c>
      <c r="L100" s="36">
        <f t="shared" si="6"/>
        <v>10</v>
      </c>
      <c r="M100" s="36">
        <f t="shared" si="7"/>
        <v>20</v>
      </c>
      <c r="N100" s="36">
        <f t="shared" si="8"/>
        <v>35</v>
      </c>
      <c r="O100" s="36">
        <f t="shared" si="9"/>
        <v>55</v>
      </c>
      <c r="P100" s="36">
        <f t="shared" si="10"/>
        <v>80</v>
      </c>
    </row>
    <row r="101" ht="15.75" customHeight="1">
      <c r="B101" s="29" t="s">
        <v>152</v>
      </c>
      <c r="C101" s="29" t="s">
        <v>55</v>
      </c>
      <c r="D101" s="249" t="s">
        <v>153</v>
      </c>
      <c r="E101" s="239">
        <f t="shared" si="4"/>
        <v>15</v>
      </c>
      <c r="F101" s="250">
        <v>10.0</v>
      </c>
      <c r="G101" s="240" t="s">
        <v>48</v>
      </c>
      <c r="H101" s="248">
        <v>2023.0</v>
      </c>
      <c r="I101" s="29">
        <f t="shared" si="11"/>
        <v>2</v>
      </c>
      <c r="J101" s="36"/>
      <c r="K101" s="36">
        <f t="shared" si="5"/>
        <v>10</v>
      </c>
      <c r="L101" s="36">
        <f t="shared" si="6"/>
        <v>15</v>
      </c>
      <c r="M101" s="36">
        <f t="shared" si="7"/>
        <v>25</v>
      </c>
      <c r="N101" s="36">
        <f t="shared" si="8"/>
        <v>40</v>
      </c>
      <c r="O101" s="36">
        <f t="shared" si="9"/>
        <v>60</v>
      </c>
      <c r="P101" s="36">
        <f t="shared" si="10"/>
        <v>85</v>
      </c>
    </row>
    <row r="102" ht="15.75" customHeight="1">
      <c r="B102" s="29" t="s">
        <v>152</v>
      </c>
      <c r="C102" s="29" t="s">
        <v>55</v>
      </c>
      <c r="D102" s="249" t="s">
        <v>348</v>
      </c>
      <c r="E102" s="239">
        <f t="shared" si="4"/>
        <v>16</v>
      </c>
      <c r="F102" s="250">
        <v>0.0</v>
      </c>
      <c r="G102" s="240" t="s">
        <v>48</v>
      </c>
      <c r="H102" s="248">
        <v>2022.0</v>
      </c>
      <c r="I102" s="29">
        <f t="shared" si="11"/>
        <v>3</v>
      </c>
      <c r="J102" s="36"/>
      <c r="K102" s="36">
        <f t="shared" si="5"/>
        <v>1</v>
      </c>
      <c r="L102" s="36">
        <f t="shared" si="6"/>
        <v>6</v>
      </c>
      <c r="M102" s="36">
        <f t="shared" si="7"/>
        <v>16</v>
      </c>
      <c r="N102" s="36">
        <f t="shared" si="8"/>
        <v>31</v>
      </c>
      <c r="O102" s="36">
        <f t="shared" si="9"/>
        <v>51</v>
      </c>
      <c r="P102" s="36">
        <f t="shared" si="10"/>
        <v>76</v>
      </c>
    </row>
    <row r="103" ht="15.75" customHeight="1">
      <c r="B103" s="29" t="s">
        <v>152</v>
      </c>
      <c r="C103" s="28" t="s">
        <v>55</v>
      </c>
      <c r="D103" s="252" t="s">
        <v>151</v>
      </c>
      <c r="E103" s="239">
        <f t="shared" si="4"/>
        <v>1</v>
      </c>
      <c r="F103" s="253">
        <v>1.0</v>
      </c>
      <c r="G103" s="247" t="s">
        <v>19</v>
      </c>
      <c r="H103" s="251">
        <v>2024.0</v>
      </c>
      <c r="I103" s="29">
        <f t="shared" si="11"/>
        <v>1</v>
      </c>
      <c r="J103" s="36">
        <v>17.0</v>
      </c>
      <c r="K103" s="36">
        <f t="shared" si="5"/>
        <v>1</v>
      </c>
      <c r="L103" s="36">
        <f t="shared" si="6"/>
        <v>6</v>
      </c>
      <c r="M103" s="36">
        <f t="shared" si="7"/>
        <v>16</v>
      </c>
      <c r="N103" s="36">
        <f t="shared" si="8"/>
        <v>31</v>
      </c>
      <c r="O103" s="36">
        <f t="shared" si="9"/>
        <v>51</v>
      </c>
      <c r="P103" s="36">
        <f t="shared" si="10"/>
        <v>76</v>
      </c>
    </row>
    <row r="104" ht="15.75" customHeight="1">
      <c r="B104" s="29" t="s">
        <v>152</v>
      </c>
      <c r="C104" s="29" t="s">
        <v>51</v>
      </c>
      <c r="D104" s="249" t="s">
        <v>185</v>
      </c>
      <c r="E104" s="239">
        <f t="shared" si="4"/>
        <v>16</v>
      </c>
      <c r="F104" s="250">
        <v>1.0</v>
      </c>
      <c r="G104" s="240" t="s">
        <v>48</v>
      </c>
      <c r="H104" s="29">
        <v>2022.0</v>
      </c>
      <c r="I104" s="29">
        <f t="shared" si="11"/>
        <v>3</v>
      </c>
      <c r="J104" s="36"/>
      <c r="K104" s="36">
        <f t="shared" si="5"/>
        <v>1</v>
      </c>
      <c r="L104" s="36">
        <f t="shared" si="6"/>
        <v>6</v>
      </c>
      <c r="M104" s="36">
        <f t="shared" si="7"/>
        <v>16</v>
      </c>
      <c r="N104" s="36">
        <f t="shared" si="8"/>
        <v>31</v>
      </c>
      <c r="O104" s="36">
        <f t="shared" si="9"/>
        <v>51</v>
      </c>
      <c r="P104" s="36">
        <f t="shared" si="10"/>
        <v>76</v>
      </c>
    </row>
    <row r="105" ht="15.75" customHeight="1">
      <c r="B105" s="29" t="s">
        <v>152</v>
      </c>
      <c r="C105" s="29" t="s">
        <v>51</v>
      </c>
      <c r="D105" s="249" t="s">
        <v>785</v>
      </c>
      <c r="E105" s="239">
        <f t="shared" si="4"/>
        <v>20</v>
      </c>
      <c r="F105" s="250">
        <v>5.0</v>
      </c>
      <c r="G105" s="240" t="s">
        <v>48</v>
      </c>
      <c r="H105" s="248">
        <v>2022.0</v>
      </c>
      <c r="I105" s="29">
        <f t="shared" si="11"/>
        <v>3</v>
      </c>
      <c r="J105" s="36"/>
      <c r="K105" s="36">
        <f t="shared" si="5"/>
        <v>5</v>
      </c>
      <c r="L105" s="36">
        <f t="shared" si="6"/>
        <v>10</v>
      </c>
      <c r="M105" s="36">
        <f t="shared" si="7"/>
        <v>20</v>
      </c>
      <c r="N105" s="36">
        <f t="shared" si="8"/>
        <v>35</v>
      </c>
      <c r="O105" s="36">
        <f t="shared" si="9"/>
        <v>55</v>
      </c>
      <c r="P105" s="36">
        <f t="shared" si="10"/>
        <v>80</v>
      </c>
    </row>
    <row r="106" ht="15.75" customHeight="1">
      <c r="B106" s="29" t="s">
        <v>152</v>
      </c>
      <c r="C106" s="29" t="s">
        <v>51</v>
      </c>
      <c r="D106" s="249" t="s">
        <v>102</v>
      </c>
      <c r="E106" s="239">
        <f t="shared" si="4"/>
        <v>17</v>
      </c>
      <c r="F106" s="250">
        <v>2.0</v>
      </c>
      <c r="G106" s="240" t="s">
        <v>48</v>
      </c>
      <c r="H106" s="248">
        <v>2022.0</v>
      </c>
      <c r="I106" s="29">
        <f t="shared" si="11"/>
        <v>3</v>
      </c>
      <c r="J106" s="36"/>
      <c r="K106" s="36">
        <f t="shared" si="5"/>
        <v>2</v>
      </c>
      <c r="L106" s="36">
        <f t="shared" si="6"/>
        <v>7</v>
      </c>
      <c r="M106" s="36">
        <f t="shared" si="7"/>
        <v>17</v>
      </c>
      <c r="N106" s="36">
        <f t="shared" si="8"/>
        <v>32</v>
      </c>
      <c r="O106" s="36">
        <f t="shared" si="9"/>
        <v>52</v>
      </c>
      <c r="P106" s="36">
        <f t="shared" si="10"/>
        <v>77</v>
      </c>
    </row>
    <row r="107" ht="15.75" customHeight="1">
      <c r="B107" s="73" t="s">
        <v>152</v>
      </c>
      <c r="C107" s="29" t="s">
        <v>51</v>
      </c>
      <c r="D107" s="249" t="s">
        <v>272</v>
      </c>
      <c r="E107" s="239">
        <f t="shared" si="4"/>
        <v>7</v>
      </c>
      <c r="F107" s="250">
        <v>2.0</v>
      </c>
      <c r="G107" s="240" t="s">
        <v>48</v>
      </c>
      <c r="H107" s="248">
        <v>2023.0</v>
      </c>
      <c r="I107" s="29">
        <f t="shared" si="11"/>
        <v>2</v>
      </c>
      <c r="J107" s="36"/>
      <c r="K107" s="36">
        <f t="shared" si="5"/>
        <v>2</v>
      </c>
      <c r="L107" s="36">
        <f t="shared" si="6"/>
        <v>7</v>
      </c>
      <c r="M107" s="36">
        <f t="shared" si="7"/>
        <v>17</v>
      </c>
      <c r="N107" s="36">
        <f t="shared" si="8"/>
        <v>32</v>
      </c>
      <c r="O107" s="36">
        <f t="shared" si="9"/>
        <v>52</v>
      </c>
      <c r="P107" s="36">
        <f t="shared" si="10"/>
        <v>77</v>
      </c>
    </row>
    <row r="108" ht="15.75" customHeight="1">
      <c r="B108" s="29" t="s">
        <v>152</v>
      </c>
      <c r="C108" s="50" t="s">
        <v>60</v>
      </c>
      <c r="D108" s="249" t="s">
        <v>61</v>
      </c>
      <c r="E108" s="239">
        <f t="shared" si="4"/>
        <v>7</v>
      </c>
      <c r="F108" s="250">
        <v>2.0</v>
      </c>
      <c r="G108" s="240" t="s">
        <v>765</v>
      </c>
      <c r="H108" s="29">
        <v>2023.0</v>
      </c>
      <c r="I108" s="29">
        <f t="shared" si="11"/>
        <v>2</v>
      </c>
      <c r="J108" s="36"/>
      <c r="K108" s="36">
        <f t="shared" si="5"/>
        <v>2</v>
      </c>
      <c r="L108" s="36">
        <f t="shared" si="6"/>
        <v>7</v>
      </c>
      <c r="M108" s="36">
        <f t="shared" si="7"/>
        <v>17</v>
      </c>
      <c r="N108" s="36">
        <f t="shared" si="8"/>
        <v>32</v>
      </c>
      <c r="O108" s="36">
        <f t="shared" si="9"/>
        <v>52</v>
      </c>
      <c r="P108" s="36">
        <f t="shared" si="10"/>
        <v>77</v>
      </c>
    </row>
    <row r="109" ht="15.75" customHeight="1">
      <c r="B109" s="29" t="s">
        <v>152</v>
      </c>
      <c r="C109" s="50" t="s">
        <v>60</v>
      </c>
      <c r="D109" s="249" t="s">
        <v>186</v>
      </c>
      <c r="E109" s="239">
        <f t="shared" si="4"/>
        <v>10</v>
      </c>
      <c r="F109" s="250">
        <v>5.0</v>
      </c>
      <c r="G109" s="240" t="s">
        <v>48</v>
      </c>
      <c r="H109" s="29">
        <v>2023.0</v>
      </c>
      <c r="I109" s="29">
        <f t="shared" si="11"/>
        <v>2</v>
      </c>
      <c r="J109" s="36"/>
      <c r="K109" s="36">
        <f t="shared" si="5"/>
        <v>5</v>
      </c>
      <c r="L109" s="36">
        <f t="shared" si="6"/>
        <v>10</v>
      </c>
      <c r="M109" s="36">
        <f t="shared" si="7"/>
        <v>20</v>
      </c>
      <c r="N109" s="36">
        <f t="shared" si="8"/>
        <v>35</v>
      </c>
      <c r="O109" s="36">
        <f t="shared" si="9"/>
        <v>55</v>
      </c>
      <c r="P109" s="36">
        <f t="shared" si="10"/>
        <v>80</v>
      </c>
    </row>
    <row r="110" ht="15.75" customHeight="1">
      <c r="B110" s="29" t="s">
        <v>152</v>
      </c>
      <c r="C110" s="29" t="s">
        <v>60</v>
      </c>
      <c r="D110" s="249" t="s">
        <v>786</v>
      </c>
      <c r="E110" s="239">
        <f t="shared" si="4"/>
        <v>7</v>
      </c>
      <c r="F110" s="250">
        <v>2.0</v>
      </c>
      <c r="G110" s="240" t="s">
        <v>765</v>
      </c>
      <c r="H110" s="248">
        <v>2023.0</v>
      </c>
      <c r="I110" s="29">
        <f t="shared" si="11"/>
        <v>2</v>
      </c>
      <c r="J110" s="36"/>
      <c r="K110" s="36">
        <f t="shared" si="5"/>
        <v>2</v>
      </c>
      <c r="L110" s="36">
        <f t="shared" si="6"/>
        <v>7</v>
      </c>
      <c r="M110" s="36">
        <f t="shared" si="7"/>
        <v>17</v>
      </c>
      <c r="N110" s="36">
        <f t="shared" si="8"/>
        <v>32</v>
      </c>
      <c r="O110" s="36">
        <f t="shared" si="9"/>
        <v>52</v>
      </c>
      <c r="P110" s="36">
        <f t="shared" si="10"/>
        <v>77</v>
      </c>
    </row>
    <row r="111" ht="15.75" customHeight="1">
      <c r="B111" s="29" t="s">
        <v>152</v>
      </c>
      <c r="C111" s="29" t="s">
        <v>46</v>
      </c>
      <c r="D111" s="59" t="s">
        <v>374</v>
      </c>
      <c r="E111" s="239">
        <f t="shared" si="4"/>
        <v>25</v>
      </c>
      <c r="F111" s="257">
        <v>10.0</v>
      </c>
      <c r="G111" s="240" t="s">
        <v>48</v>
      </c>
      <c r="H111" s="248">
        <v>2022.0</v>
      </c>
      <c r="I111" s="29">
        <f t="shared" si="11"/>
        <v>3</v>
      </c>
      <c r="J111" s="36"/>
      <c r="K111" s="36">
        <f t="shared" si="5"/>
        <v>10</v>
      </c>
      <c r="L111" s="36">
        <f t="shared" si="6"/>
        <v>15</v>
      </c>
      <c r="M111" s="36">
        <f t="shared" si="7"/>
        <v>25</v>
      </c>
      <c r="N111" s="36">
        <f t="shared" si="8"/>
        <v>40</v>
      </c>
      <c r="O111" s="36">
        <f t="shared" si="9"/>
        <v>60</v>
      </c>
      <c r="P111" s="36">
        <f t="shared" si="10"/>
        <v>85</v>
      </c>
    </row>
    <row r="112" ht="15.75" customHeight="1">
      <c r="B112" s="29" t="s">
        <v>152</v>
      </c>
      <c r="C112" s="29" t="s">
        <v>46</v>
      </c>
      <c r="D112" s="249" t="s">
        <v>160</v>
      </c>
      <c r="E112" s="239">
        <f t="shared" si="4"/>
        <v>17</v>
      </c>
      <c r="F112" s="257">
        <v>2.0</v>
      </c>
      <c r="G112" s="240" t="s">
        <v>48</v>
      </c>
      <c r="H112" s="29">
        <v>2022.0</v>
      </c>
      <c r="I112" s="29">
        <f t="shared" si="11"/>
        <v>3</v>
      </c>
      <c r="J112" s="36"/>
      <c r="K112" s="36">
        <f t="shared" si="5"/>
        <v>2</v>
      </c>
      <c r="L112" s="36">
        <f t="shared" si="6"/>
        <v>7</v>
      </c>
      <c r="M112" s="36">
        <f t="shared" si="7"/>
        <v>17</v>
      </c>
      <c r="N112" s="36">
        <f t="shared" si="8"/>
        <v>32</v>
      </c>
      <c r="O112" s="36">
        <f t="shared" si="9"/>
        <v>52</v>
      </c>
      <c r="P112" s="36">
        <f t="shared" si="10"/>
        <v>77</v>
      </c>
    </row>
    <row r="113" ht="15.75" customHeight="1">
      <c r="B113" s="29" t="s">
        <v>152</v>
      </c>
      <c r="C113" s="29" t="s">
        <v>46</v>
      </c>
      <c r="D113" s="249" t="s">
        <v>187</v>
      </c>
      <c r="E113" s="239">
        <f t="shared" si="4"/>
        <v>16</v>
      </c>
      <c r="F113" s="250">
        <v>1.0</v>
      </c>
      <c r="G113" s="240" t="s">
        <v>48</v>
      </c>
      <c r="H113" s="29">
        <v>2022.0</v>
      </c>
      <c r="I113" s="29">
        <f t="shared" si="11"/>
        <v>3</v>
      </c>
      <c r="J113" s="36"/>
      <c r="K113" s="36">
        <f t="shared" si="5"/>
        <v>1</v>
      </c>
      <c r="L113" s="36">
        <f t="shared" si="6"/>
        <v>6</v>
      </c>
      <c r="M113" s="36">
        <f t="shared" si="7"/>
        <v>16</v>
      </c>
      <c r="N113" s="36">
        <f t="shared" si="8"/>
        <v>31</v>
      </c>
      <c r="O113" s="36">
        <f t="shared" si="9"/>
        <v>51</v>
      </c>
      <c r="P113" s="36">
        <f t="shared" si="10"/>
        <v>76</v>
      </c>
    </row>
    <row r="114" ht="15.75" customHeight="1">
      <c r="B114" s="29" t="s">
        <v>152</v>
      </c>
      <c r="C114" s="29" t="s">
        <v>46</v>
      </c>
      <c r="D114" s="59" t="s">
        <v>787</v>
      </c>
      <c r="E114" s="239">
        <f t="shared" si="4"/>
        <v>16</v>
      </c>
      <c r="F114" s="250">
        <v>0.0</v>
      </c>
      <c r="G114" s="240" t="s">
        <v>48</v>
      </c>
      <c r="H114" s="248">
        <v>2022.0</v>
      </c>
      <c r="I114" s="29">
        <f t="shared" si="11"/>
        <v>3</v>
      </c>
      <c r="J114" s="36"/>
      <c r="K114" s="36">
        <f t="shared" si="5"/>
        <v>1</v>
      </c>
      <c r="L114" s="36">
        <f t="shared" si="6"/>
        <v>6</v>
      </c>
      <c r="M114" s="36">
        <f t="shared" si="7"/>
        <v>16</v>
      </c>
      <c r="N114" s="36">
        <f t="shared" si="8"/>
        <v>31</v>
      </c>
      <c r="O114" s="36">
        <f t="shared" si="9"/>
        <v>51</v>
      </c>
      <c r="P114" s="36">
        <f t="shared" si="10"/>
        <v>76</v>
      </c>
    </row>
    <row r="115" ht="15.75" customHeight="1">
      <c r="B115" s="29" t="s">
        <v>152</v>
      </c>
      <c r="C115" s="29" t="s">
        <v>46</v>
      </c>
      <c r="D115" s="249" t="s">
        <v>205</v>
      </c>
      <c r="E115" s="239">
        <f t="shared" si="4"/>
        <v>8</v>
      </c>
      <c r="F115" s="250">
        <v>3.0</v>
      </c>
      <c r="G115" s="240" t="s">
        <v>48</v>
      </c>
      <c r="H115" s="248">
        <v>2023.0</v>
      </c>
      <c r="I115" s="29">
        <f t="shared" si="11"/>
        <v>2</v>
      </c>
      <c r="J115" s="36"/>
      <c r="K115" s="36">
        <f t="shared" si="5"/>
        <v>3</v>
      </c>
      <c r="L115" s="36">
        <f t="shared" si="6"/>
        <v>8</v>
      </c>
      <c r="M115" s="36">
        <f t="shared" si="7"/>
        <v>18</v>
      </c>
      <c r="N115" s="36">
        <f t="shared" si="8"/>
        <v>33</v>
      </c>
      <c r="O115" s="36">
        <f t="shared" si="9"/>
        <v>53</v>
      </c>
      <c r="P115" s="36">
        <f t="shared" si="10"/>
        <v>78</v>
      </c>
    </row>
    <row r="116" ht="15.75" customHeight="1">
      <c r="B116" s="29" t="s">
        <v>152</v>
      </c>
      <c r="C116" s="29" t="s">
        <v>46</v>
      </c>
      <c r="D116" s="249" t="s">
        <v>81</v>
      </c>
      <c r="E116" s="239">
        <f t="shared" si="4"/>
        <v>51</v>
      </c>
      <c r="F116" s="250">
        <v>1.0</v>
      </c>
      <c r="G116" s="240" t="s">
        <v>48</v>
      </c>
      <c r="H116" s="29">
        <v>2020.0</v>
      </c>
      <c r="I116" s="29">
        <f t="shared" si="11"/>
        <v>5</v>
      </c>
      <c r="J116" s="36"/>
      <c r="K116" s="36">
        <f t="shared" si="5"/>
        <v>1</v>
      </c>
      <c r="L116" s="36">
        <f t="shared" si="6"/>
        <v>6</v>
      </c>
      <c r="M116" s="36">
        <f t="shared" si="7"/>
        <v>16</v>
      </c>
      <c r="N116" s="36">
        <f t="shared" si="8"/>
        <v>31</v>
      </c>
      <c r="O116" s="36">
        <f t="shared" si="9"/>
        <v>51</v>
      </c>
      <c r="P116" s="36">
        <f t="shared" si="10"/>
        <v>76</v>
      </c>
    </row>
    <row r="117" ht="15.75" customHeight="1">
      <c r="B117" s="29" t="s">
        <v>152</v>
      </c>
      <c r="C117" s="29" t="s">
        <v>46</v>
      </c>
      <c r="D117" s="249" t="s">
        <v>788</v>
      </c>
      <c r="E117" s="239">
        <f t="shared" si="4"/>
        <v>7</v>
      </c>
      <c r="F117" s="250">
        <v>2.0</v>
      </c>
      <c r="G117" s="240" t="s">
        <v>765</v>
      </c>
      <c r="H117" s="29">
        <v>2023.0</v>
      </c>
      <c r="I117" s="29">
        <f t="shared" si="11"/>
        <v>2</v>
      </c>
      <c r="J117" s="36"/>
      <c r="K117" s="36">
        <f t="shared" si="5"/>
        <v>2</v>
      </c>
      <c r="L117" s="36">
        <f t="shared" si="6"/>
        <v>7</v>
      </c>
      <c r="M117" s="36">
        <f t="shared" si="7"/>
        <v>17</v>
      </c>
      <c r="N117" s="36">
        <f t="shared" si="8"/>
        <v>32</v>
      </c>
      <c r="O117" s="36">
        <f t="shared" si="9"/>
        <v>52</v>
      </c>
      <c r="P117" s="36">
        <f t="shared" si="10"/>
        <v>77</v>
      </c>
    </row>
    <row r="118" ht="15.75" customHeight="1">
      <c r="B118" s="29" t="s">
        <v>152</v>
      </c>
      <c r="C118" s="28" t="s">
        <v>46</v>
      </c>
      <c r="D118" s="252" t="s">
        <v>789</v>
      </c>
      <c r="E118" s="239">
        <f t="shared" si="4"/>
        <v>2</v>
      </c>
      <c r="F118" s="253">
        <v>2.0</v>
      </c>
      <c r="G118" s="247" t="s">
        <v>19</v>
      </c>
      <c r="H118" s="251">
        <v>2024.0</v>
      </c>
      <c r="I118" s="29">
        <f t="shared" si="11"/>
        <v>1</v>
      </c>
      <c r="J118" s="36">
        <v>17.0</v>
      </c>
      <c r="K118" s="36">
        <f t="shared" si="5"/>
        <v>2</v>
      </c>
      <c r="L118" s="36">
        <f t="shared" si="6"/>
        <v>7</v>
      </c>
      <c r="M118" s="36">
        <f t="shared" si="7"/>
        <v>17</v>
      </c>
      <c r="N118" s="36">
        <f t="shared" si="8"/>
        <v>32</v>
      </c>
      <c r="O118" s="36">
        <f t="shared" si="9"/>
        <v>52</v>
      </c>
      <c r="P118" s="36">
        <f t="shared" si="10"/>
        <v>77</v>
      </c>
    </row>
    <row r="119" ht="15.75" customHeight="1">
      <c r="B119" s="29" t="s">
        <v>174</v>
      </c>
      <c r="C119" s="29" t="s">
        <v>760</v>
      </c>
      <c r="D119" s="59" t="s">
        <v>760</v>
      </c>
      <c r="E119" s="239">
        <f t="shared" si="4"/>
        <v>6</v>
      </c>
      <c r="F119" s="250"/>
      <c r="G119" s="240" t="s">
        <v>48</v>
      </c>
      <c r="H119" s="248">
        <v>2023.0</v>
      </c>
      <c r="I119" s="29">
        <f t="shared" si="11"/>
        <v>2</v>
      </c>
      <c r="J119" s="36"/>
      <c r="K119" s="36">
        <f t="shared" si="5"/>
        <v>1</v>
      </c>
      <c r="L119" s="36">
        <f t="shared" si="6"/>
        <v>6</v>
      </c>
      <c r="M119" s="36">
        <f t="shared" si="7"/>
        <v>16</v>
      </c>
      <c r="N119" s="36">
        <f t="shared" si="8"/>
        <v>31</v>
      </c>
      <c r="O119" s="36">
        <f t="shared" si="9"/>
        <v>51</v>
      </c>
      <c r="P119" s="36">
        <f t="shared" si="10"/>
        <v>76</v>
      </c>
    </row>
    <row r="120" ht="15.75" customHeight="1">
      <c r="B120" s="29" t="s">
        <v>174</v>
      </c>
      <c r="C120" s="29" t="s">
        <v>55</v>
      </c>
      <c r="D120" s="249" t="s">
        <v>790</v>
      </c>
      <c r="E120" s="239">
        <f t="shared" si="4"/>
        <v>6</v>
      </c>
      <c r="F120" s="250">
        <v>1.0</v>
      </c>
      <c r="G120" s="240" t="s">
        <v>48</v>
      </c>
      <c r="H120" s="248">
        <v>2023.0</v>
      </c>
      <c r="I120" s="29">
        <f t="shared" si="11"/>
        <v>2</v>
      </c>
      <c r="J120" s="36"/>
      <c r="K120" s="36">
        <f t="shared" si="5"/>
        <v>1</v>
      </c>
      <c r="L120" s="36">
        <f t="shared" si="6"/>
        <v>6</v>
      </c>
      <c r="M120" s="36">
        <f t="shared" si="7"/>
        <v>16</v>
      </c>
      <c r="N120" s="36">
        <f t="shared" si="8"/>
        <v>31</v>
      </c>
      <c r="O120" s="36">
        <f t="shared" si="9"/>
        <v>51</v>
      </c>
      <c r="P120" s="36">
        <f t="shared" si="10"/>
        <v>76</v>
      </c>
    </row>
    <row r="121" ht="15.75" customHeight="1">
      <c r="B121" s="29" t="s">
        <v>174</v>
      </c>
      <c r="C121" s="29" t="s">
        <v>55</v>
      </c>
      <c r="D121" s="249" t="s">
        <v>791</v>
      </c>
      <c r="E121" s="239">
        <f t="shared" si="4"/>
        <v>7</v>
      </c>
      <c r="F121" s="258">
        <v>2.0</v>
      </c>
      <c r="G121" s="240" t="s">
        <v>765</v>
      </c>
      <c r="H121" s="248">
        <v>2023.0</v>
      </c>
      <c r="I121" s="29">
        <f t="shared" si="11"/>
        <v>2</v>
      </c>
      <c r="J121" s="36"/>
      <c r="K121" s="36">
        <f t="shared" si="5"/>
        <v>2</v>
      </c>
      <c r="L121" s="36">
        <f t="shared" si="6"/>
        <v>7</v>
      </c>
      <c r="M121" s="36">
        <f t="shared" si="7"/>
        <v>17</v>
      </c>
      <c r="N121" s="36">
        <f t="shared" si="8"/>
        <v>32</v>
      </c>
      <c r="O121" s="36">
        <f t="shared" si="9"/>
        <v>52</v>
      </c>
      <c r="P121" s="36">
        <f t="shared" si="10"/>
        <v>77</v>
      </c>
    </row>
    <row r="122" ht="15.75" customHeight="1">
      <c r="B122" s="28" t="s">
        <v>174</v>
      </c>
      <c r="C122" s="29" t="s">
        <v>55</v>
      </c>
      <c r="D122" s="59" t="s">
        <v>83</v>
      </c>
      <c r="E122" s="239">
        <f t="shared" si="4"/>
        <v>66</v>
      </c>
      <c r="F122" s="250">
        <v>51.0</v>
      </c>
      <c r="G122" s="240" t="s">
        <v>48</v>
      </c>
      <c r="H122" s="248">
        <v>2022.0</v>
      </c>
      <c r="I122" s="29">
        <f t="shared" si="11"/>
        <v>3</v>
      </c>
      <c r="J122" s="36"/>
      <c r="K122" s="36">
        <f t="shared" si="5"/>
        <v>51</v>
      </c>
      <c r="L122" s="36">
        <f t="shared" si="6"/>
        <v>56</v>
      </c>
      <c r="M122" s="36">
        <f t="shared" si="7"/>
        <v>66</v>
      </c>
      <c r="N122" s="36">
        <f t="shared" si="8"/>
        <v>81</v>
      </c>
      <c r="O122" s="36">
        <f t="shared" si="9"/>
        <v>101</v>
      </c>
      <c r="P122" s="36">
        <f t="shared" si="10"/>
        <v>126</v>
      </c>
    </row>
    <row r="123" ht="15.75" customHeight="1">
      <c r="B123" s="29" t="s">
        <v>174</v>
      </c>
      <c r="C123" s="28" t="s">
        <v>55</v>
      </c>
      <c r="D123" s="58" t="s">
        <v>179</v>
      </c>
      <c r="E123" s="239">
        <f t="shared" si="4"/>
        <v>2</v>
      </c>
      <c r="F123" s="259">
        <v>2.0</v>
      </c>
      <c r="G123" s="247" t="s">
        <v>19</v>
      </c>
      <c r="H123" s="251">
        <v>2024.0</v>
      </c>
      <c r="I123" s="29">
        <f t="shared" si="11"/>
        <v>1</v>
      </c>
      <c r="J123" s="36">
        <v>17.0</v>
      </c>
      <c r="K123" s="36">
        <f t="shared" si="5"/>
        <v>2</v>
      </c>
      <c r="L123" s="36">
        <f t="shared" si="6"/>
        <v>7</v>
      </c>
      <c r="M123" s="36">
        <f t="shared" si="7"/>
        <v>17</v>
      </c>
      <c r="N123" s="36">
        <f t="shared" si="8"/>
        <v>32</v>
      </c>
      <c r="O123" s="36">
        <f t="shared" si="9"/>
        <v>52</v>
      </c>
      <c r="P123" s="36">
        <f t="shared" si="10"/>
        <v>77</v>
      </c>
    </row>
    <row r="124" ht="15.75" customHeight="1">
      <c r="B124" s="28" t="s">
        <v>297</v>
      </c>
      <c r="C124" s="29" t="s">
        <v>51</v>
      </c>
      <c r="D124" s="249" t="s">
        <v>314</v>
      </c>
      <c r="E124" s="239">
        <f t="shared" si="4"/>
        <v>18</v>
      </c>
      <c r="F124" s="250">
        <v>3.0</v>
      </c>
      <c r="G124" s="240" t="s">
        <v>48</v>
      </c>
      <c r="H124" s="29">
        <v>2022.0</v>
      </c>
      <c r="I124" s="29">
        <f t="shared" si="11"/>
        <v>3</v>
      </c>
      <c r="J124" s="36"/>
      <c r="K124" s="36">
        <f t="shared" si="5"/>
        <v>3</v>
      </c>
      <c r="L124" s="36">
        <f t="shared" si="6"/>
        <v>8</v>
      </c>
      <c r="M124" s="36">
        <f t="shared" si="7"/>
        <v>18</v>
      </c>
      <c r="N124" s="36">
        <f t="shared" si="8"/>
        <v>33</v>
      </c>
      <c r="O124" s="36">
        <f t="shared" si="9"/>
        <v>53</v>
      </c>
      <c r="P124" s="36">
        <f t="shared" si="10"/>
        <v>78</v>
      </c>
    </row>
    <row r="125" ht="15.75" customHeight="1">
      <c r="B125" s="29" t="s">
        <v>174</v>
      </c>
      <c r="C125" s="29" t="s">
        <v>51</v>
      </c>
      <c r="D125" s="59" t="s">
        <v>253</v>
      </c>
      <c r="E125" s="239">
        <f t="shared" si="4"/>
        <v>17</v>
      </c>
      <c r="F125" s="250">
        <v>2.0</v>
      </c>
      <c r="G125" s="240" t="s">
        <v>48</v>
      </c>
      <c r="H125" s="248">
        <v>2022.0</v>
      </c>
      <c r="I125" s="29">
        <f t="shared" si="11"/>
        <v>3</v>
      </c>
      <c r="J125" s="36"/>
      <c r="K125" s="36">
        <f t="shared" si="5"/>
        <v>2</v>
      </c>
      <c r="L125" s="36">
        <f t="shared" si="6"/>
        <v>7</v>
      </c>
      <c r="M125" s="36">
        <f t="shared" si="7"/>
        <v>17</v>
      </c>
      <c r="N125" s="36">
        <f t="shared" si="8"/>
        <v>32</v>
      </c>
      <c r="O125" s="36">
        <f t="shared" si="9"/>
        <v>52</v>
      </c>
      <c r="P125" s="36">
        <f t="shared" si="10"/>
        <v>77</v>
      </c>
    </row>
    <row r="126" ht="15.75" customHeight="1">
      <c r="B126" s="29" t="s">
        <v>174</v>
      </c>
      <c r="C126" s="29" t="s">
        <v>51</v>
      </c>
      <c r="D126" s="249" t="s">
        <v>168</v>
      </c>
      <c r="E126" s="239">
        <f t="shared" si="4"/>
        <v>6</v>
      </c>
      <c r="F126" s="250">
        <v>1.0</v>
      </c>
      <c r="G126" s="240" t="s">
        <v>48</v>
      </c>
      <c r="H126" s="29">
        <v>2023.0</v>
      </c>
      <c r="I126" s="29">
        <f t="shared" si="11"/>
        <v>2</v>
      </c>
      <c r="J126" s="36"/>
      <c r="K126" s="36">
        <f t="shared" si="5"/>
        <v>1</v>
      </c>
      <c r="L126" s="36">
        <f t="shared" si="6"/>
        <v>6</v>
      </c>
      <c r="M126" s="36">
        <f t="shared" si="7"/>
        <v>16</v>
      </c>
      <c r="N126" s="36">
        <f t="shared" si="8"/>
        <v>31</v>
      </c>
      <c r="O126" s="36">
        <f t="shared" si="9"/>
        <v>51</v>
      </c>
      <c r="P126" s="36">
        <f t="shared" si="10"/>
        <v>76</v>
      </c>
    </row>
    <row r="127" ht="15.75" customHeight="1">
      <c r="B127" s="73" t="s">
        <v>174</v>
      </c>
      <c r="C127" s="29" t="s">
        <v>51</v>
      </c>
      <c r="D127" s="249" t="s">
        <v>162</v>
      </c>
      <c r="E127" s="239">
        <f t="shared" si="4"/>
        <v>7</v>
      </c>
      <c r="F127" s="250">
        <v>2.0</v>
      </c>
      <c r="G127" s="240" t="s">
        <v>48</v>
      </c>
      <c r="H127" s="29">
        <v>2023.0</v>
      </c>
      <c r="I127" s="29">
        <f t="shared" si="11"/>
        <v>2</v>
      </c>
      <c r="J127" s="36"/>
      <c r="K127" s="36">
        <f t="shared" si="5"/>
        <v>2</v>
      </c>
      <c r="L127" s="36">
        <f t="shared" si="6"/>
        <v>7</v>
      </c>
      <c r="M127" s="36">
        <f t="shared" si="7"/>
        <v>17</v>
      </c>
      <c r="N127" s="36">
        <f t="shared" si="8"/>
        <v>32</v>
      </c>
      <c r="O127" s="36">
        <f t="shared" si="9"/>
        <v>52</v>
      </c>
      <c r="P127" s="36">
        <f t="shared" si="10"/>
        <v>77</v>
      </c>
    </row>
    <row r="128" ht="15.75" customHeight="1">
      <c r="B128" s="29" t="s">
        <v>174</v>
      </c>
      <c r="C128" s="29" t="s">
        <v>51</v>
      </c>
      <c r="D128" s="249" t="s">
        <v>255</v>
      </c>
      <c r="E128" s="239">
        <f t="shared" si="4"/>
        <v>7</v>
      </c>
      <c r="F128" s="250">
        <v>2.0</v>
      </c>
      <c r="G128" s="240" t="s">
        <v>765</v>
      </c>
      <c r="H128" s="29">
        <v>2023.0</v>
      </c>
      <c r="I128" s="29">
        <f t="shared" si="11"/>
        <v>2</v>
      </c>
      <c r="J128" s="36"/>
      <c r="K128" s="36">
        <f t="shared" si="5"/>
        <v>2</v>
      </c>
      <c r="L128" s="36">
        <f t="shared" si="6"/>
        <v>7</v>
      </c>
      <c r="M128" s="36">
        <f t="shared" si="7"/>
        <v>17</v>
      </c>
      <c r="N128" s="36">
        <f t="shared" si="8"/>
        <v>32</v>
      </c>
      <c r="O128" s="36">
        <f t="shared" si="9"/>
        <v>52</v>
      </c>
      <c r="P128" s="36">
        <f t="shared" si="10"/>
        <v>77</v>
      </c>
    </row>
    <row r="129" ht="15.75" customHeight="1">
      <c r="B129" s="73" t="s">
        <v>174</v>
      </c>
      <c r="C129" s="29" t="s">
        <v>51</v>
      </c>
      <c r="D129" s="249" t="s">
        <v>140</v>
      </c>
      <c r="E129" s="239">
        <f t="shared" si="4"/>
        <v>7</v>
      </c>
      <c r="F129" s="250">
        <v>2.0</v>
      </c>
      <c r="G129" s="240" t="s">
        <v>765</v>
      </c>
      <c r="H129" s="29">
        <v>2023.0</v>
      </c>
      <c r="I129" s="29">
        <f t="shared" si="11"/>
        <v>2</v>
      </c>
      <c r="J129" s="36"/>
      <c r="K129" s="36">
        <f t="shared" si="5"/>
        <v>2</v>
      </c>
      <c r="L129" s="36">
        <f t="shared" si="6"/>
        <v>7</v>
      </c>
      <c r="M129" s="36">
        <f t="shared" si="7"/>
        <v>17</v>
      </c>
      <c r="N129" s="36">
        <f t="shared" si="8"/>
        <v>32</v>
      </c>
      <c r="O129" s="36">
        <f t="shared" si="9"/>
        <v>52</v>
      </c>
      <c r="P129" s="36">
        <f t="shared" si="10"/>
        <v>77</v>
      </c>
    </row>
    <row r="130" ht="15.75" customHeight="1">
      <c r="B130" s="29" t="s">
        <v>174</v>
      </c>
      <c r="C130" s="29" t="s">
        <v>51</v>
      </c>
      <c r="D130" s="249" t="s">
        <v>792</v>
      </c>
      <c r="E130" s="239">
        <f t="shared" si="4"/>
        <v>7</v>
      </c>
      <c r="F130" s="250">
        <v>2.0</v>
      </c>
      <c r="G130" s="240" t="s">
        <v>765</v>
      </c>
      <c r="H130" s="29">
        <v>2023.0</v>
      </c>
      <c r="I130" s="29">
        <f t="shared" si="11"/>
        <v>2</v>
      </c>
      <c r="J130" s="36"/>
      <c r="K130" s="36">
        <f t="shared" si="5"/>
        <v>2</v>
      </c>
      <c r="L130" s="36">
        <f t="shared" si="6"/>
        <v>7</v>
      </c>
      <c r="M130" s="36">
        <f t="shared" si="7"/>
        <v>17</v>
      </c>
      <c r="N130" s="36">
        <f t="shared" si="8"/>
        <v>32</v>
      </c>
      <c r="O130" s="36">
        <f t="shared" si="9"/>
        <v>52</v>
      </c>
      <c r="P130" s="36">
        <f t="shared" si="10"/>
        <v>77</v>
      </c>
    </row>
    <row r="131" ht="15.75" customHeight="1">
      <c r="B131" s="29" t="s">
        <v>174</v>
      </c>
      <c r="C131" s="28" t="s">
        <v>51</v>
      </c>
      <c r="D131" s="252" t="s">
        <v>323</v>
      </c>
      <c r="E131" s="239">
        <f t="shared" si="4"/>
        <v>2</v>
      </c>
      <c r="F131" s="253">
        <v>2.0</v>
      </c>
      <c r="G131" s="247" t="s">
        <v>19</v>
      </c>
      <c r="H131" s="28">
        <v>2024.0</v>
      </c>
      <c r="I131" s="29">
        <f t="shared" si="11"/>
        <v>1</v>
      </c>
      <c r="J131" s="36">
        <v>17.0</v>
      </c>
      <c r="K131" s="36">
        <f t="shared" si="5"/>
        <v>2</v>
      </c>
      <c r="L131" s="36">
        <f t="shared" si="6"/>
        <v>7</v>
      </c>
      <c r="M131" s="36">
        <f t="shared" si="7"/>
        <v>17</v>
      </c>
      <c r="N131" s="36">
        <f t="shared" si="8"/>
        <v>32</v>
      </c>
      <c r="O131" s="36">
        <f t="shared" si="9"/>
        <v>52</v>
      </c>
      <c r="P131" s="36">
        <f t="shared" si="10"/>
        <v>77</v>
      </c>
    </row>
    <row r="132" ht="15.75" customHeight="1">
      <c r="B132" s="29" t="s">
        <v>174</v>
      </c>
      <c r="C132" s="29" t="s">
        <v>60</v>
      </c>
      <c r="D132" s="249" t="s">
        <v>114</v>
      </c>
      <c r="E132" s="239">
        <f t="shared" si="4"/>
        <v>9</v>
      </c>
      <c r="F132" s="250">
        <v>4.0</v>
      </c>
      <c r="G132" s="240" t="s">
        <v>48</v>
      </c>
      <c r="H132" s="29">
        <v>2023.0</v>
      </c>
      <c r="I132" s="29">
        <f t="shared" si="11"/>
        <v>2</v>
      </c>
      <c r="J132" s="36"/>
      <c r="K132" s="36">
        <f t="shared" si="5"/>
        <v>4</v>
      </c>
      <c r="L132" s="36">
        <f t="shared" si="6"/>
        <v>9</v>
      </c>
      <c r="M132" s="36">
        <f t="shared" si="7"/>
        <v>19</v>
      </c>
      <c r="N132" s="36">
        <f t="shared" si="8"/>
        <v>34</v>
      </c>
      <c r="O132" s="36">
        <f t="shared" si="9"/>
        <v>54</v>
      </c>
      <c r="P132" s="36">
        <f t="shared" si="10"/>
        <v>79</v>
      </c>
    </row>
    <row r="133" ht="15.75" customHeight="1">
      <c r="B133" s="28" t="s">
        <v>174</v>
      </c>
      <c r="C133" s="29" t="s">
        <v>60</v>
      </c>
      <c r="D133" s="249" t="s">
        <v>181</v>
      </c>
      <c r="E133" s="239">
        <f t="shared" si="4"/>
        <v>10</v>
      </c>
      <c r="F133" s="250">
        <v>5.0</v>
      </c>
      <c r="G133" s="240" t="s">
        <v>48</v>
      </c>
      <c r="H133" s="29">
        <v>2023.0</v>
      </c>
      <c r="I133" s="29">
        <f t="shared" si="11"/>
        <v>2</v>
      </c>
      <c r="J133" s="36"/>
      <c r="K133" s="36">
        <f t="shared" si="5"/>
        <v>5</v>
      </c>
      <c r="L133" s="36">
        <f t="shared" si="6"/>
        <v>10</v>
      </c>
      <c r="M133" s="36">
        <f t="shared" si="7"/>
        <v>20</v>
      </c>
      <c r="N133" s="36">
        <f t="shared" si="8"/>
        <v>35</v>
      </c>
      <c r="O133" s="36">
        <f t="shared" si="9"/>
        <v>55</v>
      </c>
      <c r="P133" s="36">
        <f t="shared" si="10"/>
        <v>80</v>
      </c>
    </row>
    <row r="134" ht="15.75" customHeight="1">
      <c r="B134" s="29" t="s">
        <v>174</v>
      </c>
      <c r="C134" s="29" t="s">
        <v>46</v>
      </c>
      <c r="D134" s="249" t="s">
        <v>131</v>
      </c>
      <c r="E134" s="239">
        <f t="shared" si="4"/>
        <v>12</v>
      </c>
      <c r="F134" s="250">
        <v>7.0</v>
      </c>
      <c r="G134" s="240" t="s">
        <v>48</v>
      </c>
      <c r="H134" s="29">
        <v>2023.0</v>
      </c>
      <c r="I134" s="29">
        <f t="shared" si="11"/>
        <v>2</v>
      </c>
      <c r="J134" s="36"/>
      <c r="K134" s="36">
        <f t="shared" si="5"/>
        <v>7</v>
      </c>
      <c r="L134" s="36">
        <f t="shared" si="6"/>
        <v>12</v>
      </c>
      <c r="M134" s="36">
        <f t="shared" si="7"/>
        <v>22</v>
      </c>
      <c r="N134" s="36">
        <f t="shared" si="8"/>
        <v>37</v>
      </c>
      <c r="O134" s="36">
        <f t="shared" si="9"/>
        <v>57</v>
      </c>
      <c r="P134" s="36">
        <f t="shared" si="10"/>
        <v>82</v>
      </c>
    </row>
    <row r="135" ht="15.75" customHeight="1">
      <c r="B135" s="29" t="s">
        <v>174</v>
      </c>
      <c r="C135" s="29" t="s">
        <v>46</v>
      </c>
      <c r="D135" s="249" t="s">
        <v>365</v>
      </c>
      <c r="E135" s="239">
        <f t="shared" si="4"/>
        <v>24</v>
      </c>
      <c r="F135" s="250">
        <v>9.0</v>
      </c>
      <c r="G135" s="240" t="s">
        <v>48</v>
      </c>
      <c r="H135" s="248">
        <v>2022.0</v>
      </c>
      <c r="I135" s="29">
        <f t="shared" si="11"/>
        <v>3</v>
      </c>
      <c r="J135" s="36"/>
      <c r="K135" s="36">
        <f t="shared" si="5"/>
        <v>9</v>
      </c>
      <c r="L135" s="36">
        <f t="shared" si="6"/>
        <v>14</v>
      </c>
      <c r="M135" s="36">
        <f t="shared" si="7"/>
        <v>24</v>
      </c>
      <c r="N135" s="36">
        <f t="shared" si="8"/>
        <v>39</v>
      </c>
      <c r="O135" s="36">
        <f t="shared" si="9"/>
        <v>59</v>
      </c>
      <c r="P135" s="36">
        <f t="shared" si="10"/>
        <v>84</v>
      </c>
    </row>
    <row r="136" ht="15.75" customHeight="1">
      <c r="B136" s="29" t="s">
        <v>174</v>
      </c>
      <c r="C136" s="50" t="s">
        <v>46</v>
      </c>
      <c r="D136" s="249" t="s">
        <v>248</v>
      </c>
      <c r="E136" s="239">
        <f t="shared" si="4"/>
        <v>16</v>
      </c>
      <c r="F136" s="250">
        <v>1.0</v>
      </c>
      <c r="G136" s="240" t="s">
        <v>48</v>
      </c>
      <c r="H136" s="248">
        <v>2022.0</v>
      </c>
      <c r="I136" s="29">
        <f t="shared" si="11"/>
        <v>3</v>
      </c>
      <c r="J136" s="36"/>
      <c r="K136" s="36">
        <f t="shared" si="5"/>
        <v>1</v>
      </c>
      <c r="L136" s="36">
        <f t="shared" si="6"/>
        <v>6</v>
      </c>
      <c r="M136" s="36">
        <f t="shared" si="7"/>
        <v>16</v>
      </c>
      <c r="N136" s="36">
        <f t="shared" si="8"/>
        <v>31</v>
      </c>
      <c r="O136" s="36">
        <f t="shared" si="9"/>
        <v>51</v>
      </c>
      <c r="P136" s="36">
        <f t="shared" si="10"/>
        <v>76</v>
      </c>
    </row>
    <row r="137" ht="15.75" customHeight="1">
      <c r="B137" s="29" t="s">
        <v>174</v>
      </c>
      <c r="C137" s="29" t="s">
        <v>46</v>
      </c>
      <c r="D137" s="59" t="s">
        <v>215</v>
      </c>
      <c r="E137" s="239">
        <f t="shared" si="4"/>
        <v>6</v>
      </c>
      <c r="F137" s="258">
        <v>1.0</v>
      </c>
      <c r="G137" s="240" t="s">
        <v>48</v>
      </c>
      <c r="H137" s="248">
        <v>2023.0</v>
      </c>
      <c r="I137" s="29">
        <f t="shared" si="11"/>
        <v>2</v>
      </c>
      <c r="J137" s="36"/>
      <c r="K137" s="36">
        <f t="shared" si="5"/>
        <v>1</v>
      </c>
      <c r="L137" s="36">
        <f t="shared" si="6"/>
        <v>6</v>
      </c>
      <c r="M137" s="36">
        <f t="shared" si="7"/>
        <v>16</v>
      </c>
      <c r="N137" s="36">
        <f t="shared" si="8"/>
        <v>31</v>
      </c>
      <c r="O137" s="36">
        <f t="shared" si="9"/>
        <v>51</v>
      </c>
      <c r="P137" s="36">
        <f t="shared" si="10"/>
        <v>76</v>
      </c>
    </row>
    <row r="138" ht="15.75" customHeight="1">
      <c r="B138" s="29" t="s">
        <v>174</v>
      </c>
      <c r="C138" s="29" t="s">
        <v>46</v>
      </c>
      <c r="D138" s="249" t="s">
        <v>793</v>
      </c>
      <c r="E138" s="239">
        <f t="shared" si="4"/>
        <v>7</v>
      </c>
      <c r="F138" s="250">
        <v>2.0</v>
      </c>
      <c r="G138" s="240" t="s">
        <v>765</v>
      </c>
      <c r="H138" s="248">
        <v>2023.0</v>
      </c>
      <c r="I138" s="29">
        <f t="shared" si="11"/>
        <v>2</v>
      </c>
      <c r="J138" s="36"/>
      <c r="K138" s="36">
        <f t="shared" si="5"/>
        <v>2</v>
      </c>
      <c r="L138" s="36">
        <f t="shared" si="6"/>
        <v>7</v>
      </c>
      <c r="M138" s="36">
        <f t="shared" si="7"/>
        <v>17</v>
      </c>
      <c r="N138" s="36">
        <f t="shared" si="8"/>
        <v>32</v>
      </c>
      <c r="O138" s="36">
        <f t="shared" si="9"/>
        <v>52</v>
      </c>
      <c r="P138" s="36">
        <f t="shared" si="10"/>
        <v>77</v>
      </c>
    </row>
    <row r="139" ht="15.75" customHeight="1">
      <c r="B139" s="29" t="s">
        <v>174</v>
      </c>
      <c r="C139" s="28" t="s">
        <v>46</v>
      </c>
      <c r="D139" s="58" t="s">
        <v>673</v>
      </c>
      <c r="E139" s="239">
        <f t="shared" si="4"/>
        <v>2</v>
      </c>
      <c r="F139" s="253">
        <v>2.0</v>
      </c>
      <c r="G139" s="247" t="s">
        <v>19</v>
      </c>
      <c r="H139" s="251">
        <v>2024.0</v>
      </c>
      <c r="I139" s="29">
        <f t="shared" si="11"/>
        <v>1</v>
      </c>
      <c r="J139" s="36">
        <v>17.0</v>
      </c>
      <c r="K139" s="36">
        <f t="shared" si="5"/>
        <v>2</v>
      </c>
      <c r="L139" s="36">
        <f t="shared" si="6"/>
        <v>7</v>
      </c>
      <c r="M139" s="36">
        <f t="shared" si="7"/>
        <v>17</v>
      </c>
      <c r="N139" s="36">
        <f t="shared" si="8"/>
        <v>32</v>
      </c>
      <c r="O139" s="36">
        <f t="shared" si="9"/>
        <v>52</v>
      </c>
      <c r="P139" s="36">
        <f t="shared" si="10"/>
        <v>77</v>
      </c>
    </row>
    <row r="140" ht="15.75" customHeight="1">
      <c r="B140" s="28" t="s">
        <v>199</v>
      </c>
      <c r="C140" s="29" t="s">
        <v>55</v>
      </c>
      <c r="D140" s="249" t="s">
        <v>352</v>
      </c>
      <c r="E140" s="239">
        <f t="shared" si="4"/>
        <v>31</v>
      </c>
      <c r="F140" s="250">
        <v>26.0</v>
      </c>
      <c r="G140" s="240" t="s">
        <v>48</v>
      </c>
      <c r="H140" s="248">
        <v>2023.0</v>
      </c>
      <c r="I140" s="29">
        <f t="shared" si="11"/>
        <v>2</v>
      </c>
      <c r="J140" s="36"/>
      <c r="K140" s="36">
        <f t="shared" si="5"/>
        <v>26</v>
      </c>
      <c r="L140" s="36">
        <f t="shared" si="6"/>
        <v>31</v>
      </c>
      <c r="M140" s="36">
        <f t="shared" si="7"/>
        <v>41</v>
      </c>
      <c r="N140" s="36">
        <f t="shared" si="8"/>
        <v>56</v>
      </c>
      <c r="O140" s="36">
        <f t="shared" si="9"/>
        <v>76</v>
      </c>
      <c r="P140" s="36">
        <f t="shared" si="10"/>
        <v>101</v>
      </c>
    </row>
    <row r="141" ht="15.75" customHeight="1">
      <c r="B141" s="29" t="s">
        <v>199</v>
      </c>
      <c r="C141" s="50" t="s">
        <v>760</v>
      </c>
      <c r="D141" s="249" t="s">
        <v>760</v>
      </c>
      <c r="E141" s="239">
        <f t="shared" si="4"/>
        <v>6</v>
      </c>
      <c r="F141" s="250"/>
      <c r="G141" s="240" t="s">
        <v>48</v>
      </c>
      <c r="H141" s="248">
        <v>2023.0</v>
      </c>
      <c r="I141" s="29">
        <f t="shared" si="11"/>
        <v>2</v>
      </c>
      <c r="J141" s="36"/>
      <c r="K141" s="36">
        <f t="shared" si="5"/>
        <v>1</v>
      </c>
      <c r="L141" s="36">
        <f t="shared" si="6"/>
        <v>6</v>
      </c>
      <c r="M141" s="36">
        <f t="shared" si="7"/>
        <v>16</v>
      </c>
      <c r="N141" s="36">
        <f t="shared" si="8"/>
        <v>31</v>
      </c>
      <c r="O141" s="36">
        <f t="shared" si="9"/>
        <v>51</v>
      </c>
      <c r="P141" s="36">
        <f t="shared" si="10"/>
        <v>76</v>
      </c>
    </row>
    <row r="142" ht="15.75" customHeight="1">
      <c r="B142" s="29" t="s">
        <v>199</v>
      </c>
      <c r="C142" s="29" t="s">
        <v>55</v>
      </c>
      <c r="D142" s="249" t="s">
        <v>342</v>
      </c>
      <c r="E142" s="239">
        <f t="shared" si="4"/>
        <v>56</v>
      </c>
      <c r="F142" s="250">
        <v>6.0</v>
      </c>
      <c r="G142" s="240" t="s">
        <v>48</v>
      </c>
      <c r="H142" s="248">
        <v>2020.0</v>
      </c>
      <c r="I142" s="29">
        <f t="shared" si="11"/>
        <v>5</v>
      </c>
      <c r="J142" s="36"/>
      <c r="K142" s="36">
        <f t="shared" si="5"/>
        <v>6</v>
      </c>
      <c r="L142" s="36">
        <f t="shared" si="6"/>
        <v>11</v>
      </c>
      <c r="M142" s="36">
        <f t="shared" si="7"/>
        <v>21</v>
      </c>
      <c r="N142" s="36">
        <f t="shared" si="8"/>
        <v>36</v>
      </c>
      <c r="O142" s="36">
        <f t="shared" si="9"/>
        <v>56</v>
      </c>
      <c r="P142" s="36">
        <f t="shared" si="10"/>
        <v>81</v>
      </c>
    </row>
    <row r="143" ht="15.75" customHeight="1">
      <c r="B143" s="29" t="s">
        <v>199</v>
      </c>
      <c r="C143" s="29" t="s">
        <v>55</v>
      </c>
      <c r="D143" s="249" t="s">
        <v>303</v>
      </c>
      <c r="E143" s="239">
        <f t="shared" si="4"/>
        <v>21</v>
      </c>
      <c r="F143" s="250">
        <v>16.0</v>
      </c>
      <c r="G143" s="240" t="s">
        <v>48</v>
      </c>
      <c r="H143" s="248">
        <v>2023.0</v>
      </c>
      <c r="I143" s="29">
        <f t="shared" si="11"/>
        <v>2</v>
      </c>
      <c r="J143" s="36"/>
      <c r="K143" s="36">
        <f t="shared" si="5"/>
        <v>16</v>
      </c>
      <c r="L143" s="36">
        <f t="shared" si="6"/>
        <v>21</v>
      </c>
      <c r="M143" s="36">
        <f t="shared" si="7"/>
        <v>31</v>
      </c>
      <c r="N143" s="36">
        <f t="shared" si="8"/>
        <v>46</v>
      </c>
      <c r="O143" s="36">
        <f t="shared" si="9"/>
        <v>66</v>
      </c>
      <c r="P143" s="36">
        <f t="shared" si="10"/>
        <v>91</v>
      </c>
    </row>
    <row r="144" ht="15.75" customHeight="1">
      <c r="B144" s="29" t="s">
        <v>199</v>
      </c>
      <c r="C144" s="29" t="s">
        <v>55</v>
      </c>
      <c r="D144" s="59" t="s">
        <v>794</v>
      </c>
      <c r="E144" s="239">
        <f t="shared" si="4"/>
        <v>7</v>
      </c>
      <c r="F144" s="250">
        <v>2.0</v>
      </c>
      <c r="G144" s="240" t="s">
        <v>765</v>
      </c>
      <c r="H144" s="248">
        <v>2023.0</v>
      </c>
      <c r="I144" s="29">
        <f t="shared" si="11"/>
        <v>2</v>
      </c>
      <c r="J144" s="36"/>
      <c r="K144" s="36">
        <f t="shared" si="5"/>
        <v>2</v>
      </c>
      <c r="L144" s="36">
        <f t="shared" si="6"/>
        <v>7</v>
      </c>
      <c r="M144" s="36">
        <f t="shared" si="7"/>
        <v>17</v>
      </c>
      <c r="N144" s="36">
        <f t="shared" si="8"/>
        <v>32</v>
      </c>
      <c r="O144" s="36">
        <f t="shared" si="9"/>
        <v>52</v>
      </c>
      <c r="P144" s="36">
        <f t="shared" si="10"/>
        <v>77</v>
      </c>
    </row>
    <row r="145" ht="15.75" customHeight="1">
      <c r="B145" s="29" t="s">
        <v>199</v>
      </c>
      <c r="C145" s="29" t="s">
        <v>55</v>
      </c>
      <c r="D145" s="59" t="s">
        <v>795</v>
      </c>
      <c r="E145" s="239">
        <f t="shared" si="4"/>
        <v>7</v>
      </c>
      <c r="F145" s="250">
        <v>2.0</v>
      </c>
      <c r="G145" s="240" t="s">
        <v>765</v>
      </c>
      <c r="H145" s="248">
        <v>2023.0</v>
      </c>
      <c r="I145" s="29">
        <f t="shared" si="11"/>
        <v>2</v>
      </c>
      <c r="J145" s="36"/>
      <c r="K145" s="36">
        <f t="shared" si="5"/>
        <v>2</v>
      </c>
      <c r="L145" s="36">
        <f t="shared" si="6"/>
        <v>7</v>
      </c>
      <c r="M145" s="36">
        <f t="shared" si="7"/>
        <v>17</v>
      </c>
      <c r="N145" s="36">
        <f t="shared" si="8"/>
        <v>32</v>
      </c>
      <c r="O145" s="36">
        <f t="shared" si="9"/>
        <v>52</v>
      </c>
      <c r="P145" s="36">
        <f t="shared" si="10"/>
        <v>77</v>
      </c>
    </row>
    <row r="146" ht="15.75" customHeight="1">
      <c r="B146" s="29" t="s">
        <v>199</v>
      </c>
      <c r="C146" s="50" t="s">
        <v>55</v>
      </c>
      <c r="D146" s="59" t="s">
        <v>796</v>
      </c>
      <c r="E146" s="239">
        <f t="shared" si="4"/>
        <v>7</v>
      </c>
      <c r="F146" s="250">
        <v>2.0</v>
      </c>
      <c r="G146" s="240" t="s">
        <v>765</v>
      </c>
      <c r="H146" s="248">
        <v>2023.0</v>
      </c>
      <c r="I146" s="29">
        <f t="shared" si="11"/>
        <v>2</v>
      </c>
      <c r="J146" s="36"/>
      <c r="K146" s="36">
        <f t="shared" si="5"/>
        <v>2</v>
      </c>
      <c r="L146" s="36">
        <f t="shared" si="6"/>
        <v>7</v>
      </c>
      <c r="M146" s="36">
        <f t="shared" si="7"/>
        <v>17</v>
      </c>
      <c r="N146" s="36">
        <f t="shared" si="8"/>
        <v>32</v>
      </c>
      <c r="O146" s="36">
        <f t="shared" si="9"/>
        <v>52</v>
      </c>
      <c r="P146" s="36">
        <f t="shared" si="10"/>
        <v>77</v>
      </c>
    </row>
    <row r="147" ht="15.75" customHeight="1">
      <c r="B147" s="29" t="s">
        <v>199</v>
      </c>
      <c r="C147" s="29" t="s">
        <v>51</v>
      </c>
      <c r="D147" s="59" t="s">
        <v>82</v>
      </c>
      <c r="E147" s="239">
        <f t="shared" si="4"/>
        <v>17</v>
      </c>
      <c r="F147" s="250">
        <v>2.0</v>
      </c>
      <c r="G147" s="240" t="s">
        <v>48</v>
      </c>
      <c r="H147" s="29">
        <v>2022.0</v>
      </c>
      <c r="I147" s="29">
        <f t="shared" si="11"/>
        <v>3</v>
      </c>
      <c r="J147" s="36"/>
      <c r="K147" s="36">
        <f t="shared" si="5"/>
        <v>2</v>
      </c>
      <c r="L147" s="36">
        <f t="shared" si="6"/>
        <v>7</v>
      </c>
      <c r="M147" s="36">
        <f t="shared" si="7"/>
        <v>17</v>
      </c>
      <c r="N147" s="36">
        <f t="shared" si="8"/>
        <v>32</v>
      </c>
      <c r="O147" s="36">
        <f t="shared" si="9"/>
        <v>52</v>
      </c>
      <c r="P147" s="36">
        <f t="shared" si="10"/>
        <v>77</v>
      </c>
    </row>
    <row r="148" ht="15.75" customHeight="1">
      <c r="B148" s="29" t="s">
        <v>199</v>
      </c>
      <c r="C148" s="29" t="s">
        <v>51</v>
      </c>
      <c r="D148" s="59" t="s">
        <v>88</v>
      </c>
      <c r="E148" s="239">
        <f t="shared" si="4"/>
        <v>34</v>
      </c>
      <c r="F148" s="250">
        <v>29.0</v>
      </c>
      <c r="G148" s="240" t="s">
        <v>48</v>
      </c>
      <c r="H148" s="29">
        <v>2023.0</v>
      </c>
      <c r="I148" s="29">
        <f t="shared" si="11"/>
        <v>2</v>
      </c>
      <c r="J148" s="36"/>
      <c r="K148" s="36">
        <f t="shared" si="5"/>
        <v>29</v>
      </c>
      <c r="L148" s="36">
        <f t="shared" si="6"/>
        <v>34</v>
      </c>
      <c r="M148" s="36">
        <f t="shared" si="7"/>
        <v>44</v>
      </c>
      <c r="N148" s="36">
        <f t="shared" si="8"/>
        <v>59</v>
      </c>
      <c r="O148" s="36">
        <f t="shared" si="9"/>
        <v>79</v>
      </c>
      <c r="P148" s="36">
        <f t="shared" si="10"/>
        <v>104</v>
      </c>
    </row>
    <row r="149" ht="15.75" customHeight="1">
      <c r="B149" s="29" t="s">
        <v>199</v>
      </c>
      <c r="C149" s="29" t="s">
        <v>51</v>
      </c>
      <c r="D149" s="59" t="s">
        <v>130</v>
      </c>
      <c r="E149" s="239">
        <f t="shared" si="4"/>
        <v>19</v>
      </c>
      <c r="F149" s="250">
        <v>14.0</v>
      </c>
      <c r="G149" s="240" t="s">
        <v>48</v>
      </c>
      <c r="H149" s="29">
        <v>2023.0</v>
      </c>
      <c r="I149" s="29">
        <f t="shared" si="11"/>
        <v>2</v>
      </c>
      <c r="J149" s="36"/>
      <c r="K149" s="36">
        <f t="shared" si="5"/>
        <v>14</v>
      </c>
      <c r="L149" s="36">
        <f t="shared" si="6"/>
        <v>19</v>
      </c>
      <c r="M149" s="36">
        <f t="shared" si="7"/>
        <v>29</v>
      </c>
      <c r="N149" s="36">
        <f t="shared" si="8"/>
        <v>44</v>
      </c>
      <c r="O149" s="36">
        <f t="shared" si="9"/>
        <v>64</v>
      </c>
      <c r="P149" s="36">
        <f t="shared" si="10"/>
        <v>89</v>
      </c>
    </row>
    <row r="150" ht="15.75" customHeight="1">
      <c r="B150" s="29" t="s">
        <v>199</v>
      </c>
      <c r="C150" s="29" t="s">
        <v>51</v>
      </c>
      <c r="D150" s="59" t="s">
        <v>797</v>
      </c>
      <c r="E150" s="239">
        <f t="shared" si="4"/>
        <v>16</v>
      </c>
      <c r="F150" s="250">
        <v>1.0</v>
      </c>
      <c r="G150" s="240" t="s">
        <v>48</v>
      </c>
      <c r="H150" s="29">
        <v>2022.0</v>
      </c>
      <c r="I150" s="29">
        <f t="shared" si="11"/>
        <v>3</v>
      </c>
      <c r="J150" s="36"/>
      <c r="K150" s="36">
        <f t="shared" si="5"/>
        <v>1</v>
      </c>
      <c r="L150" s="36">
        <f t="shared" si="6"/>
        <v>6</v>
      </c>
      <c r="M150" s="36">
        <f t="shared" si="7"/>
        <v>16</v>
      </c>
      <c r="N150" s="36">
        <f t="shared" si="8"/>
        <v>31</v>
      </c>
      <c r="O150" s="36">
        <f t="shared" si="9"/>
        <v>51</v>
      </c>
      <c r="P150" s="36">
        <f t="shared" si="10"/>
        <v>76</v>
      </c>
    </row>
    <row r="151" ht="15.75" customHeight="1">
      <c r="B151" s="29" t="s">
        <v>199</v>
      </c>
      <c r="C151" s="50" t="s">
        <v>51</v>
      </c>
      <c r="D151" s="59" t="s">
        <v>798</v>
      </c>
      <c r="E151" s="239">
        <f t="shared" si="4"/>
        <v>7</v>
      </c>
      <c r="F151" s="250">
        <v>2.0</v>
      </c>
      <c r="G151" s="240" t="s">
        <v>765</v>
      </c>
      <c r="H151" s="248">
        <v>2023.0</v>
      </c>
      <c r="I151" s="29">
        <f t="shared" si="11"/>
        <v>2</v>
      </c>
      <c r="J151" s="36"/>
      <c r="K151" s="36">
        <f t="shared" si="5"/>
        <v>2</v>
      </c>
      <c r="L151" s="36">
        <f t="shared" si="6"/>
        <v>7</v>
      </c>
      <c r="M151" s="36">
        <f t="shared" si="7"/>
        <v>17</v>
      </c>
      <c r="N151" s="36">
        <f t="shared" si="8"/>
        <v>32</v>
      </c>
      <c r="O151" s="36">
        <f t="shared" si="9"/>
        <v>52</v>
      </c>
      <c r="P151" s="36">
        <f t="shared" si="10"/>
        <v>77</v>
      </c>
    </row>
    <row r="152" ht="15.75" customHeight="1">
      <c r="B152" s="29" t="s">
        <v>199</v>
      </c>
      <c r="C152" s="28" t="s">
        <v>51</v>
      </c>
      <c r="D152" s="58" t="s">
        <v>290</v>
      </c>
      <c r="E152" s="239">
        <f t="shared" si="4"/>
        <v>2</v>
      </c>
      <c r="F152" s="253">
        <v>2.0</v>
      </c>
      <c r="G152" s="247" t="s">
        <v>19</v>
      </c>
      <c r="H152" s="28">
        <v>2024.0</v>
      </c>
      <c r="I152" s="29">
        <f t="shared" si="11"/>
        <v>1</v>
      </c>
      <c r="J152" s="36">
        <v>17.0</v>
      </c>
      <c r="K152" s="36">
        <f t="shared" si="5"/>
        <v>2</v>
      </c>
      <c r="L152" s="36">
        <f t="shared" si="6"/>
        <v>7</v>
      </c>
      <c r="M152" s="36">
        <f t="shared" si="7"/>
        <v>17</v>
      </c>
      <c r="N152" s="36">
        <f t="shared" si="8"/>
        <v>32</v>
      </c>
      <c r="O152" s="36">
        <f t="shared" si="9"/>
        <v>52</v>
      </c>
      <c r="P152" s="36">
        <f t="shared" si="10"/>
        <v>77</v>
      </c>
    </row>
    <row r="153" ht="15.75" customHeight="1">
      <c r="B153" s="73" t="s">
        <v>199</v>
      </c>
      <c r="C153" s="29" t="s">
        <v>60</v>
      </c>
      <c r="D153" s="59" t="s">
        <v>393</v>
      </c>
      <c r="E153" s="239">
        <f t="shared" si="4"/>
        <v>7</v>
      </c>
      <c r="F153" s="250">
        <v>2.0</v>
      </c>
      <c r="G153" s="240" t="s">
        <v>48</v>
      </c>
      <c r="H153" s="248">
        <v>2023.0</v>
      </c>
      <c r="I153" s="29">
        <f t="shared" si="11"/>
        <v>2</v>
      </c>
      <c r="J153" s="36"/>
      <c r="K153" s="36">
        <f t="shared" si="5"/>
        <v>2</v>
      </c>
      <c r="L153" s="36">
        <f t="shared" si="6"/>
        <v>7</v>
      </c>
      <c r="M153" s="36">
        <f t="shared" si="7"/>
        <v>17</v>
      </c>
      <c r="N153" s="36">
        <f t="shared" si="8"/>
        <v>32</v>
      </c>
      <c r="O153" s="36">
        <f t="shared" si="9"/>
        <v>52</v>
      </c>
      <c r="P153" s="36">
        <f t="shared" si="10"/>
        <v>77</v>
      </c>
    </row>
    <row r="154" ht="15.75" customHeight="1">
      <c r="B154" s="29" t="s">
        <v>199</v>
      </c>
      <c r="C154" s="29" t="s">
        <v>46</v>
      </c>
      <c r="D154" s="59" t="s">
        <v>229</v>
      </c>
      <c r="E154" s="239">
        <f t="shared" si="4"/>
        <v>7</v>
      </c>
      <c r="F154" s="250">
        <v>2.0</v>
      </c>
      <c r="G154" s="240" t="s">
        <v>48</v>
      </c>
      <c r="H154" s="248">
        <v>2023.0</v>
      </c>
      <c r="I154" s="29">
        <f t="shared" si="11"/>
        <v>2</v>
      </c>
      <c r="J154" s="36"/>
      <c r="K154" s="36">
        <f t="shared" si="5"/>
        <v>2</v>
      </c>
      <c r="L154" s="36">
        <f t="shared" si="6"/>
        <v>7</v>
      </c>
      <c r="M154" s="36">
        <f t="shared" si="7"/>
        <v>17</v>
      </c>
      <c r="N154" s="36">
        <f t="shared" si="8"/>
        <v>32</v>
      </c>
      <c r="O154" s="36">
        <f t="shared" si="9"/>
        <v>52</v>
      </c>
      <c r="P154" s="36">
        <f t="shared" si="10"/>
        <v>77</v>
      </c>
    </row>
    <row r="155" ht="15.75" customHeight="1">
      <c r="B155" s="29" t="s">
        <v>199</v>
      </c>
      <c r="C155" s="29" t="s">
        <v>46</v>
      </c>
      <c r="D155" s="59" t="s">
        <v>799</v>
      </c>
      <c r="E155" s="239">
        <f t="shared" si="4"/>
        <v>12</v>
      </c>
      <c r="F155" s="250">
        <v>7.0</v>
      </c>
      <c r="G155" s="240" t="s">
        <v>48</v>
      </c>
      <c r="H155" s="248">
        <v>2023.0</v>
      </c>
      <c r="I155" s="29">
        <f t="shared" si="11"/>
        <v>2</v>
      </c>
      <c r="J155" s="36"/>
      <c r="K155" s="36">
        <f t="shared" si="5"/>
        <v>7</v>
      </c>
      <c r="L155" s="36">
        <f t="shared" si="6"/>
        <v>12</v>
      </c>
      <c r="M155" s="36">
        <f t="shared" si="7"/>
        <v>22</v>
      </c>
      <c r="N155" s="36">
        <f t="shared" si="8"/>
        <v>37</v>
      </c>
      <c r="O155" s="36">
        <f t="shared" si="9"/>
        <v>57</v>
      </c>
      <c r="P155" s="36">
        <f t="shared" si="10"/>
        <v>82</v>
      </c>
    </row>
    <row r="156" ht="15.75" customHeight="1">
      <c r="B156" s="29" t="s">
        <v>199</v>
      </c>
      <c r="C156" s="29" t="s">
        <v>46</v>
      </c>
      <c r="D156" s="59" t="s">
        <v>800</v>
      </c>
      <c r="E156" s="239">
        <f t="shared" si="4"/>
        <v>17</v>
      </c>
      <c r="F156" s="250">
        <v>2.0</v>
      </c>
      <c r="G156" s="240" t="s">
        <v>48</v>
      </c>
      <c r="H156" s="248">
        <v>2022.0</v>
      </c>
      <c r="I156" s="29">
        <f t="shared" si="11"/>
        <v>3</v>
      </c>
      <c r="J156" s="36"/>
      <c r="K156" s="36">
        <f t="shared" si="5"/>
        <v>2</v>
      </c>
      <c r="L156" s="36">
        <f t="shared" si="6"/>
        <v>7</v>
      </c>
      <c r="M156" s="36">
        <f t="shared" si="7"/>
        <v>17</v>
      </c>
      <c r="N156" s="36">
        <f t="shared" si="8"/>
        <v>32</v>
      </c>
      <c r="O156" s="36">
        <f t="shared" si="9"/>
        <v>52</v>
      </c>
      <c r="P156" s="36">
        <f t="shared" si="10"/>
        <v>77</v>
      </c>
    </row>
    <row r="157" ht="15.75" customHeight="1">
      <c r="B157" s="73" t="s">
        <v>199</v>
      </c>
      <c r="C157" s="29" t="s">
        <v>46</v>
      </c>
      <c r="D157" s="59" t="s">
        <v>801</v>
      </c>
      <c r="E157" s="239">
        <f t="shared" si="4"/>
        <v>7</v>
      </c>
      <c r="F157" s="250">
        <v>2.0</v>
      </c>
      <c r="G157" s="240" t="s">
        <v>48</v>
      </c>
      <c r="H157" s="248">
        <v>2023.0</v>
      </c>
      <c r="I157" s="29">
        <f t="shared" si="11"/>
        <v>2</v>
      </c>
      <c r="J157" s="36"/>
      <c r="K157" s="36">
        <f t="shared" si="5"/>
        <v>2</v>
      </c>
      <c r="L157" s="36">
        <f t="shared" si="6"/>
        <v>7</v>
      </c>
      <c r="M157" s="36">
        <f t="shared" si="7"/>
        <v>17</v>
      </c>
      <c r="N157" s="36">
        <f t="shared" si="8"/>
        <v>32</v>
      </c>
      <c r="O157" s="36">
        <f t="shared" si="9"/>
        <v>52</v>
      </c>
      <c r="P157" s="36">
        <f t="shared" si="10"/>
        <v>77</v>
      </c>
    </row>
    <row r="158" ht="15.75" customHeight="1">
      <c r="B158" s="73" t="s">
        <v>199</v>
      </c>
      <c r="C158" s="29" t="s">
        <v>46</v>
      </c>
      <c r="D158" s="59" t="s">
        <v>802</v>
      </c>
      <c r="E158" s="239">
        <f t="shared" si="4"/>
        <v>7</v>
      </c>
      <c r="F158" s="250">
        <v>2.0</v>
      </c>
      <c r="G158" s="240" t="s">
        <v>48</v>
      </c>
      <c r="H158" s="248">
        <v>2023.0</v>
      </c>
      <c r="I158" s="29">
        <f t="shared" si="11"/>
        <v>2</v>
      </c>
      <c r="J158" s="36"/>
      <c r="K158" s="36">
        <f t="shared" si="5"/>
        <v>2</v>
      </c>
      <c r="L158" s="36">
        <f t="shared" si="6"/>
        <v>7</v>
      </c>
      <c r="M158" s="36">
        <f t="shared" si="7"/>
        <v>17</v>
      </c>
      <c r="N158" s="36">
        <f t="shared" si="8"/>
        <v>32</v>
      </c>
      <c r="O158" s="36">
        <f t="shared" si="9"/>
        <v>52</v>
      </c>
      <c r="P158" s="36">
        <f t="shared" si="10"/>
        <v>77</v>
      </c>
    </row>
    <row r="159" ht="15.75" customHeight="1">
      <c r="B159" s="29" t="s">
        <v>199</v>
      </c>
      <c r="C159" s="29" t="s">
        <v>46</v>
      </c>
      <c r="D159" s="59" t="s">
        <v>158</v>
      </c>
      <c r="E159" s="239">
        <f t="shared" si="4"/>
        <v>17</v>
      </c>
      <c r="F159" s="250">
        <v>2.0</v>
      </c>
      <c r="G159" s="240" t="s">
        <v>48</v>
      </c>
      <c r="H159" s="248">
        <v>2022.0</v>
      </c>
      <c r="I159" s="29">
        <f t="shared" si="11"/>
        <v>3</v>
      </c>
      <c r="J159" s="36"/>
      <c r="K159" s="36">
        <f t="shared" si="5"/>
        <v>2</v>
      </c>
      <c r="L159" s="36">
        <f t="shared" si="6"/>
        <v>7</v>
      </c>
      <c r="M159" s="36">
        <f t="shared" si="7"/>
        <v>17</v>
      </c>
      <c r="N159" s="36">
        <f t="shared" si="8"/>
        <v>32</v>
      </c>
      <c r="O159" s="36">
        <f t="shared" si="9"/>
        <v>52</v>
      </c>
      <c r="P159" s="36">
        <f t="shared" si="10"/>
        <v>77</v>
      </c>
    </row>
    <row r="160" ht="15.75" customHeight="1">
      <c r="B160" s="29" t="s">
        <v>199</v>
      </c>
      <c r="C160" s="29" t="s">
        <v>46</v>
      </c>
      <c r="D160" s="59" t="s">
        <v>275</v>
      </c>
      <c r="E160" s="239">
        <f t="shared" si="4"/>
        <v>17</v>
      </c>
      <c r="F160" s="250">
        <v>2.0</v>
      </c>
      <c r="G160" s="240" t="s">
        <v>48</v>
      </c>
      <c r="H160" s="248">
        <v>2022.0</v>
      </c>
      <c r="I160" s="29">
        <f t="shared" si="11"/>
        <v>3</v>
      </c>
      <c r="J160" s="36"/>
      <c r="K160" s="36">
        <f t="shared" si="5"/>
        <v>2</v>
      </c>
      <c r="L160" s="36">
        <f t="shared" si="6"/>
        <v>7</v>
      </c>
      <c r="M160" s="36">
        <f t="shared" si="7"/>
        <v>17</v>
      </c>
      <c r="N160" s="36">
        <f t="shared" si="8"/>
        <v>32</v>
      </c>
      <c r="O160" s="36">
        <f t="shared" si="9"/>
        <v>52</v>
      </c>
      <c r="P160" s="36">
        <f t="shared" si="10"/>
        <v>77</v>
      </c>
    </row>
    <row r="161" ht="15.75" customHeight="1">
      <c r="B161" s="76" t="s">
        <v>199</v>
      </c>
      <c r="C161" s="29" t="s">
        <v>46</v>
      </c>
      <c r="D161" s="59" t="s">
        <v>201</v>
      </c>
      <c r="E161" s="239">
        <f t="shared" si="4"/>
        <v>7</v>
      </c>
      <c r="F161" s="250">
        <v>2.0</v>
      </c>
      <c r="G161" s="240" t="s">
        <v>48</v>
      </c>
      <c r="H161" s="248">
        <v>2023.0</v>
      </c>
      <c r="I161" s="29">
        <f t="shared" si="11"/>
        <v>2</v>
      </c>
      <c r="J161" s="36"/>
      <c r="K161" s="36">
        <f t="shared" si="5"/>
        <v>2</v>
      </c>
      <c r="L161" s="36">
        <f t="shared" si="6"/>
        <v>7</v>
      </c>
      <c r="M161" s="36">
        <f t="shared" si="7"/>
        <v>17</v>
      </c>
      <c r="N161" s="36">
        <f t="shared" si="8"/>
        <v>32</v>
      </c>
      <c r="O161" s="36">
        <f t="shared" si="9"/>
        <v>52</v>
      </c>
      <c r="P161" s="36">
        <f t="shared" si="10"/>
        <v>77</v>
      </c>
    </row>
    <row r="162" ht="15.75" customHeight="1">
      <c r="B162" s="29" t="s">
        <v>199</v>
      </c>
      <c r="C162" s="28" t="s">
        <v>46</v>
      </c>
      <c r="D162" s="58" t="s">
        <v>157</v>
      </c>
      <c r="E162" s="239">
        <f t="shared" si="4"/>
        <v>2</v>
      </c>
      <c r="F162" s="259">
        <v>2.0</v>
      </c>
      <c r="G162" s="247" t="s">
        <v>19</v>
      </c>
      <c r="H162" s="251">
        <v>2024.0</v>
      </c>
      <c r="I162" s="29">
        <f t="shared" si="11"/>
        <v>1</v>
      </c>
      <c r="J162" s="36">
        <v>17.0</v>
      </c>
      <c r="K162" s="36">
        <f t="shared" si="5"/>
        <v>2</v>
      </c>
      <c r="L162" s="36">
        <f t="shared" si="6"/>
        <v>7</v>
      </c>
      <c r="M162" s="36">
        <f t="shared" si="7"/>
        <v>17</v>
      </c>
      <c r="N162" s="36">
        <f t="shared" si="8"/>
        <v>32</v>
      </c>
      <c r="O162" s="36">
        <f t="shared" si="9"/>
        <v>52</v>
      </c>
      <c r="P162" s="36">
        <f t="shared" si="10"/>
        <v>77</v>
      </c>
    </row>
    <row r="163" ht="15.75" customHeight="1">
      <c r="B163" s="29" t="s">
        <v>199</v>
      </c>
      <c r="C163" s="28" t="s">
        <v>46</v>
      </c>
      <c r="D163" s="58" t="s">
        <v>261</v>
      </c>
      <c r="E163" s="239">
        <f t="shared" si="4"/>
        <v>2</v>
      </c>
      <c r="F163" s="253">
        <v>2.0</v>
      </c>
      <c r="G163" s="247" t="s">
        <v>19</v>
      </c>
      <c r="H163" s="251">
        <v>2024.0</v>
      </c>
      <c r="I163" s="29">
        <f t="shared" si="11"/>
        <v>1</v>
      </c>
      <c r="J163" s="36">
        <v>17.0</v>
      </c>
      <c r="K163" s="36">
        <f t="shared" si="5"/>
        <v>2</v>
      </c>
      <c r="L163" s="36">
        <f t="shared" si="6"/>
        <v>7</v>
      </c>
      <c r="M163" s="36">
        <f t="shared" si="7"/>
        <v>17</v>
      </c>
      <c r="N163" s="36">
        <f t="shared" si="8"/>
        <v>32</v>
      </c>
      <c r="O163" s="36">
        <f t="shared" si="9"/>
        <v>52</v>
      </c>
      <c r="P163" s="36">
        <f t="shared" si="10"/>
        <v>77</v>
      </c>
    </row>
    <row r="164" ht="15.75" customHeight="1">
      <c r="B164" s="29" t="s">
        <v>199</v>
      </c>
      <c r="C164" s="28" t="s">
        <v>46</v>
      </c>
      <c r="D164" s="58" t="s">
        <v>361</v>
      </c>
      <c r="E164" s="239">
        <f t="shared" si="4"/>
        <v>1</v>
      </c>
      <c r="F164" s="253">
        <v>1.0</v>
      </c>
      <c r="G164" s="247" t="s">
        <v>19</v>
      </c>
      <c r="H164" s="251">
        <v>2024.0</v>
      </c>
      <c r="I164" s="29">
        <f t="shared" si="11"/>
        <v>1</v>
      </c>
      <c r="J164" s="36">
        <v>17.0</v>
      </c>
      <c r="K164" s="36">
        <f t="shared" si="5"/>
        <v>1</v>
      </c>
      <c r="L164" s="36">
        <f t="shared" si="6"/>
        <v>6</v>
      </c>
      <c r="M164" s="36">
        <f t="shared" si="7"/>
        <v>16</v>
      </c>
      <c r="N164" s="36">
        <f t="shared" si="8"/>
        <v>31</v>
      </c>
      <c r="O164" s="36">
        <f t="shared" si="9"/>
        <v>51</v>
      </c>
      <c r="P164" s="36">
        <f t="shared" si="10"/>
        <v>76</v>
      </c>
    </row>
    <row r="165" ht="15.75" customHeight="1">
      <c r="B165" s="28" t="s">
        <v>221</v>
      </c>
      <c r="C165" s="29" t="s">
        <v>51</v>
      </c>
      <c r="D165" s="59" t="s">
        <v>101</v>
      </c>
      <c r="E165" s="239">
        <f t="shared" si="4"/>
        <v>75</v>
      </c>
      <c r="F165" s="258">
        <v>60.0</v>
      </c>
      <c r="G165" s="240" t="s">
        <v>48</v>
      </c>
      <c r="H165" s="248">
        <v>2022.0</v>
      </c>
      <c r="I165" s="29">
        <f t="shared" si="11"/>
        <v>3</v>
      </c>
      <c r="J165" s="36"/>
      <c r="K165" s="36">
        <f t="shared" si="5"/>
        <v>60</v>
      </c>
      <c r="L165" s="36">
        <f t="shared" si="6"/>
        <v>65</v>
      </c>
      <c r="M165" s="36">
        <f t="shared" si="7"/>
        <v>75</v>
      </c>
      <c r="N165" s="36">
        <f t="shared" si="8"/>
        <v>90</v>
      </c>
      <c r="O165" s="36">
        <f t="shared" si="9"/>
        <v>110</v>
      </c>
      <c r="P165" s="36">
        <f t="shared" si="10"/>
        <v>135</v>
      </c>
    </row>
    <row r="166" ht="15.75" customHeight="1">
      <c r="B166" s="28" t="s">
        <v>221</v>
      </c>
      <c r="C166" s="50" t="s">
        <v>46</v>
      </c>
      <c r="D166" s="59" t="s">
        <v>246</v>
      </c>
      <c r="E166" s="239">
        <f t="shared" si="4"/>
        <v>31</v>
      </c>
      <c r="F166" s="250">
        <v>1.0</v>
      </c>
      <c r="G166" s="240" t="s">
        <v>48</v>
      </c>
      <c r="H166" s="248">
        <v>2021.0</v>
      </c>
      <c r="I166" s="29">
        <f t="shared" si="11"/>
        <v>4</v>
      </c>
      <c r="J166" s="36"/>
      <c r="K166" s="36">
        <f t="shared" si="5"/>
        <v>1</v>
      </c>
      <c r="L166" s="36">
        <f t="shared" si="6"/>
        <v>6</v>
      </c>
      <c r="M166" s="36">
        <f t="shared" si="7"/>
        <v>16</v>
      </c>
      <c r="N166" s="36">
        <f t="shared" si="8"/>
        <v>31</v>
      </c>
      <c r="O166" s="36">
        <f t="shared" si="9"/>
        <v>51</v>
      </c>
      <c r="P166" s="36">
        <f t="shared" si="10"/>
        <v>76</v>
      </c>
    </row>
    <row r="167" ht="15.75" customHeight="1">
      <c r="B167" s="29" t="s">
        <v>221</v>
      </c>
      <c r="C167" s="50" t="s">
        <v>55</v>
      </c>
      <c r="D167" s="59" t="s">
        <v>225</v>
      </c>
      <c r="E167" s="239">
        <f t="shared" si="4"/>
        <v>15</v>
      </c>
      <c r="F167" s="257">
        <v>10.0</v>
      </c>
      <c r="G167" s="240" t="s">
        <v>48</v>
      </c>
      <c r="H167" s="248">
        <v>2023.0</v>
      </c>
      <c r="I167" s="29">
        <f t="shared" si="11"/>
        <v>2</v>
      </c>
      <c r="J167" s="36"/>
      <c r="K167" s="36">
        <f t="shared" si="5"/>
        <v>10</v>
      </c>
      <c r="L167" s="36">
        <f t="shared" si="6"/>
        <v>15</v>
      </c>
      <c r="M167" s="36">
        <f t="shared" si="7"/>
        <v>25</v>
      </c>
      <c r="N167" s="36">
        <f t="shared" si="8"/>
        <v>40</v>
      </c>
      <c r="O167" s="36">
        <f t="shared" si="9"/>
        <v>60</v>
      </c>
      <c r="P167" s="36">
        <f t="shared" si="10"/>
        <v>85</v>
      </c>
    </row>
    <row r="168" ht="15.75" customHeight="1">
      <c r="B168" s="29" t="s">
        <v>221</v>
      </c>
      <c r="C168" s="50" t="s">
        <v>55</v>
      </c>
      <c r="D168" s="59" t="s">
        <v>132</v>
      </c>
      <c r="E168" s="239">
        <f t="shared" si="4"/>
        <v>18</v>
      </c>
      <c r="F168" s="250">
        <v>3.0</v>
      </c>
      <c r="G168" s="240" t="s">
        <v>48</v>
      </c>
      <c r="H168" s="248">
        <v>2022.0</v>
      </c>
      <c r="I168" s="29">
        <f t="shared" si="11"/>
        <v>3</v>
      </c>
      <c r="J168" s="36"/>
      <c r="K168" s="36">
        <f t="shared" si="5"/>
        <v>3</v>
      </c>
      <c r="L168" s="36">
        <f t="shared" si="6"/>
        <v>8</v>
      </c>
      <c r="M168" s="36">
        <f t="shared" si="7"/>
        <v>18</v>
      </c>
      <c r="N168" s="36">
        <f t="shared" si="8"/>
        <v>33</v>
      </c>
      <c r="O168" s="36">
        <f t="shared" si="9"/>
        <v>53</v>
      </c>
      <c r="P168" s="36">
        <f t="shared" si="10"/>
        <v>78</v>
      </c>
    </row>
    <row r="169" ht="15.75" customHeight="1">
      <c r="B169" s="73" t="s">
        <v>221</v>
      </c>
      <c r="C169" s="29" t="s">
        <v>55</v>
      </c>
      <c r="D169" s="59" t="s">
        <v>325</v>
      </c>
      <c r="E169" s="239">
        <f t="shared" si="4"/>
        <v>7</v>
      </c>
      <c r="F169" s="250">
        <v>2.0</v>
      </c>
      <c r="G169" s="240" t="s">
        <v>48</v>
      </c>
      <c r="H169" s="248">
        <v>2023.0</v>
      </c>
      <c r="I169" s="29">
        <f t="shared" si="11"/>
        <v>2</v>
      </c>
      <c r="J169" s="36"/>
      <c r="K169" s="36">
        <f t="shared" si="5"/>
        <v>2</v>
      </c>
      <c r="L169" s="36">
        <f t="shared" si="6"/>
        <v>7</v>
      </c>
      <c r="M169" s="36">
        <f t="shared" si="7"/>
        <v>17</v>
      </c>
      <c r="N169" s="36">
        <f t="shared" si="8"/>
        <v>32</v>
      </c>
      <c r="O169" s="36">
        <f t="shared" si="9"/>
        <v>52</v>
      </c>
      <c r="P169" s="36">
        <f t="shared" si="10"/>
        <v>77</v>
      </c>
    </row>
    <row r="170" ht="15.75" customHeight="1">
      <c r="B170" s="73" t="s">
        <v>221</v>
      </c>
      <c r="C170" s="29" t="s">
        <v>51</v>
      </c>
      <c r="D170" s="59" t="s">
        <v>198</v>
      </c>
      <c r="E170" s="239">
        <f t="shared" si="4"/>
        <v>7</v>
      </c>
      <c r="F170" s="250">
        <v>2.0</v>
      </c>
      <c r="G170" s="240" t="s">
        <v>48</v>
      </c>
      <c r="H170" s="248">
        <v>2023.0</v>
      </c>
      <c r="I170" s="29">
        <f t="shared" si="11"/>
        <v>2</v>
      </c>
      <c r="J170" s="36"/>
      <c r="K170" s="36">
        <f t="shared" si="5"/>
        <v>2</v>
      </c>
      <c r="L170" s="36">
        <f t="shared" si="6"/>
        <v>7</v>
      </c>
      <c r="M170" s="36">
        <f t="shared" si="7"/>
        <v>17</v>
      </c>
      <c r="N170" s="36">
        <f t="shared" si="8"/>
        <v>32</v>
      </c>
      <c r="O170" s="36">
        <f t="shared" si="9"/>
        <v>52</v>
      </c>
      <c r="P170" s="36">
        <f t="shared" si="10"/>
        <v>77</v>
      </c>
    </row>
    <row r="171" ht="15.75" customHeight="1">
      <c r="B171" s="29" t="s">
        <v>221</v>
      </c>
      <c r="C171" s="29" t="s">
        <v>51</v>
      </c>
      <c r="D171" s="59" t="s">
        <v>133</v>
      </c>
      <c r="E171" s="239">
        <f t="shared" si="4"/>
        <v>66</v>
      </c>
      <c r="F171" s="250">
        <v>61.0</v>
      </c>
      <c r="G171" s="240" t="s">
        <v>48</v>
      </c>
      <c r="H171" s="248">
        <v>2023.0</v>
      </c>
      <c r="I171" s="29">
        <f t="shared" si="11"/>
        <v>2</v>
      </c>
      <c r="J171" s="36"/>
      <c r="K171" s="36">
        <f t="shared" si="5"/>
        <v>61</v>
      </c>
      <c r="L171" s="36">
        <f t="shared" si="6"/>
        <v>66</v>
      </c>
      <c r="M171" s="36">
        <f t="shared" si="7"/>
        <v>76</v>
      </c>
      <c r="N171" s="36">
        <f t="shared" si="8"/>
        <v>91</v>
      </c>
      <c r="O171" s="36">
        <f t="shared" si="9"/>
        <v>111</v>
      </c>
      <c r="P171" s="36">
        <f t="shared" si="10"/>
        <v>136</v>
      </c>
    </row>
    <row r="172" ht="15.75" customHeight="1">
      <c r="B172" s="29" t="s">
        <v>221</v>
      </c>
      <c r="C172" s="29" t="s">
        <v>51</v>
      </c>
      <c r="D172" s="59" t="s">
        <v>106</v>
      </c>
      <c r="E172" s="239">
        <f t="shared" si="4"/>
        <v>16</v>
      </c>
      <c r="F172" s="250">
        <v>1.0</v>
      </c>
      <c r="G172" s="240" t="s">
        <v>48</v>
      </c>
      <c r="H172" s="248">
        <v>2022.0</v>
      </c>
      <c r="I172" s="29">
        <f t="shared" si="11"/>
        <v>3</v>
      </c>
      <c r="J172" s="36"/>
      <c r="K172" s="36">
        <f t="shared" si="5"/>
        <v>1</v>
      </c>
      <c r="L172" s="36">
        <f t="shared" si="6"/>
        <v>6</v>
      </c>
      <c r="M172" s="36">
        <f t="shared" si="7"/>
        <v>16</v>
      </c>
      <c r="N172" s="36">
        <f t="shared" si="8"/>
        <v>31</v>
      </c>
      <c r="O172" s="36">
        <f t="shared" si="9"/>
        <v>51</v>
      </c>
      <c r="P172" s="36">
        <f t="shared" si="10"/>
        <v>76</v>
      </c>
    </row>
    <row r="173" ht="15.75" customHeight="1">
      <c r="B173" s="29" t="s">
        <v>221</v>
      </c>
      <c r="C173" s="29" t="s">
        <v>51</v>
      </c>
      <c r="D173" s="59" t="s">
        <v>803</v>
      </c>
      <c r="E173" s="239">
        <f t="shared" si="4"/>
        <v>6</v>
      </c>
      <c r="F173" s="250">
        <v>1.0</v>
      </c>
      <c r="G173" s="240" t="s">
        <v>48</v>
      </c>
      <c r="H173" s="248">
        <v>2023.0</v>
      </c>
      <c r="I173" s="29">
        <f t="shared" si="11"/>
        <v>2</v>
      </c>
      <c r="J173" s="36"/>
      <c r="K173" s="36">
        <f t="shared" si="5"/>
        <v>1</v>
      </c>
      <c r="L173" s="36">
        <f t="shared" si="6"/>
        <v>6</v>
      </c>
      <c r="M173" s="36">
        <f t="shared" si="7"/>
        <v>16</v>
      </c>
      <c r="N173" s="36">
        <f t="shared" si="8"/>
        <v>31</v>
      </c>
      <c r="O173" s="36">
        <f t="shared" si="9"/>
        <v>51</v>
      </c>
      <c r="P173" s="36">
        <f t="shared" si="10"/>
        <v>76</v>
      </c>
    </row>
    <row r="174" ht="15.75" customHeight="1">
      <c r="B174" s="73" t="s">
        <v>221</v>
      </c>
      <c r="C174" s="29" t="s">
        <v>51</v>
      </c>
      <c r="D174" s="59" t="s">
        <v>143</v>
      </c>
      <c r="E174" s="239">
        <f t="shared" si="4"/>
        <v>6</v>
      </c>
      <c r="F174" s="250">
        <v>1.0</v>
      </c>
      <c r="G174" s="240" t="s">
        <v>48</v>
      </c>
      <c r="H174" s="248">
        <v>2023.0</v>
      </c>
      <c r="I174" s="29">
        <f t="shared" si="11"/>
        <v>2</v>
      </c>
      <c r="J174" s="36"/>
      <c r="K174" s="36">
        <f t="shared" si="5"/>
        <v>1</v>
      </c>
      <c r="L174" s="36">
        <f t="shared" si="6"/>
        <v>6</v>
      </c>
      <c r="M174" s="36">
        <f t="shared" si="7"/>
        <v>16</v>
      </c>
      <c r="N174" s="36">
        <f t="shared" si="8"/>
        <v>31</v>
      </c>
      <c r="O174" s="36">
        <f t="shared" si="9"/>
        <v>51</v>
      </c>
      <c r="P174" s="36">
        <f t="shared" si="10"/>
        <v>76</v>
      </c>
    </row>
    <row r="175" ht="15.75" customHeight="1">
      <c r="B175" s="29" t="s">
        <v>221</v>
      </c>
      <c r="C175" s="29" t="s">
        <v>51</v>
      </c>
      <c r="D175" s="59" t="s">
        <v>289</v>
      </c>
      <c r="E175" s="239">
        <f t="shared" si="4"/>
        <v>6</v>
      </c>
      <c r="F175" s="250">
        <v>1.0</v>
      </c>
      <c r="G175" s="240" t="s">
        <v>48</v>
      </c>
      <c r="H175" s="248">
        <v>2023.0</v>
      </c>
      <c r="I175" s="29">
        <f t="shared" si="11"/>
        <v>2</v>
      </c>
      <c r="J175" s="36"/>
      <c r="K175" s="36">
        <f t="shared" si="5"/>
        <v>1</v>
      </c>
      <c r="L175" s="36">
        <f t="shared" si="6"/>
        <v>6</v>
      </c>
      <c r="M175" s="36">
        <f t="shared" si="7"/>
        <v>16</v>
      </c>
      <c r="N175" s="36">
        <f t="shared" si="8"/>
        <v>31</v>
      </c>
      <c r="O175" s="36">
        <f t="shared" si="9"/>
        <v>51</v>
      </c>
      <c r="P175" s="36">
        <f t="shared" si="10"/>
        <v>76</v>
      </c>
    </row>
    <row r="176" ht="15.75" customHeight="1">
      <c r="B176" s="29" t="s">
        <v>221</v>
      </c>
      <c r="C176" s="29" t="s">
        <v>51</v>
      </c>
      <c r="D176" s="59" t="s">
        <v>804</v>
      </c>
      <c r="E176" s="239">
        <f t="shared" si="4"/>
        <v>7</v>
      </c>
      <c r="F176" s="250">
        <v>2.0</v>
      </c>
      <c r="G176" s="240" t="s">
        <v>765</v>
      </c>
      <c r="H176" s="248">
        <v>2023.0</v>
      </c>
      <c r="I176" s="29">
        <f t="shared" si="11"/>
        <v>2</v>
      </c>
      <c r="J176" s="36"/>
      <c r="K176" s="36">
        <f t="shared" si="5"/>
        <v>2</v>
      </c>
      <c r="L176" s="36">
        <f t="shared" si="6"/>
        <v>7</v>
      </c>
      <c r="M176" s="36">
        <f t="shared" si="7"/>
        <v>17</v>
      </c>
      <c r="N176" s="36">
        <f t="shared" si="8"/>
        <v>32</v>
      </c>
      <c r="O176" s="36">
        <f t="shared" si="9"/>
        <v>52</v>
      </c>
      <c r="P176" s="36">
        <f t="shared" si="10"/>
        <v>77</v>
      </c>
    </row>
    <row r="177" ht="15.75" customHeight="1">
      <c r="B177" s="29" t="s">
        <v>221</v>
      </c>
      <c r="C177" s="29" t="s">
        <v>51</v>
      </c>
      <c r="D177" s="59" t="s">
        <v>805</v>
      </c>
      <c r="E177" s="239">
        <f t="shared" si="4"/>
        <v>7</v>
      </c>
      <c r="F177" s="250">
        <v>2.0</v>
      </c>
      <c r="G177" s="240" t="s">
        <v>765</v>
      </c>
      <c r="H177" s="248">
        <v>2023.0</v>
      </c>
      <c r="I177" s="29">
        <f t="shared" si="11"/>
        <v>2</v>
      </c>
      <c r="J177" s="36"/>
      <c r="K177" s="36">
        <f t="shared" si="5"/>
        <v>2</v>
      </c>
      <c r="L177" s="36">
        <f t="shared" si="6"/>
        <v>7</v>
      </c>
      <c r="M177" s="36">
        <f t="shared" si="7"/>
        <v>17</v>
      </c>
      <c r="N177" s="36">
        <f t="shared" si="8"/>
        <v>32</v>
      </c>
      <c r="O177" s="36">
        <f t="shared" si="9"/>
        <v>52</v>
      </c>
      <c r="P177" s="36">
        <f t="shared" si="10"/>
        <v>77</v>
      </c>
    </row>
    <row r="178" ht="15.75" customHeight="1">
      <c r="B178" s="29" t="s">
        <v>221</v>
      </c>
      <c r="C178" s="29" t="s">
        <v>60</v>
      </c>
      <c r="D178" s="59" t="s">
        <v>117</v>
      </c>
      <c r="E178" s="239">
        <f t="shared" si="4"/>
        <v>7</v>
      </c>
      <c r="F178" s="250">
        <v>2.0</v>
      </c>
      <c r="G178" s="240" t="s">
        <v>765</v>
      </c>
      <c r="H178" s="248">
        <v>2023.0</v>
      </c>
      <c r="I178" s="29">
        <f t="shared" si="11"/>
        <v>2</v>
      </c>
      <c r="J178" s="36"/>
      <c r="K178" s="36">
        <f t="shared" si="5"/>
        <v>2</v>
      </c>
      <c r="L178" s="36">
        <f t="shared" si="6"/>
        <v>7</v>
      </c>
      <c r="M178" s="36">
        <f t="shared" si="7"/>
        <v>17</v>
      </c>
      <c r="N178" s="36">
        <f t="shared" si="8"/>
        <v>32</v>
      </c>
      <c r="O178" s="36">
        <f t="shared" si="9"/>
        <v>52</v>
      </c>
      <c r="P178" s="36">
        <f t="shared" si="10"/>
        <v>77</v>
      </c>
    </row>
    <row r="179" ht="15.75" customHeight="1">
      <c r="B179" s="29" t="s">
        <v>221</v>
      </c>
      <c r="C179" s="28" t="s">
        <v>60</v>
      </c>
      <c r="D179" s="58" t="s">
        <v>230</v>
      </c>
      <c r="E179" s="239">
        <f t="shared" si="4"/>
        <v>1</v>
      </c>
      <c r="F179" s="253">
        <v>1.0</v>
      </c>
      <c r="G179" s="247" t="s">
        <v>19</v>
      </c>
      <c r="H179" s="251">
        <v>2024.0</v>
      </c>
      <c r="I179" s="29">
        <f t="shared" si="11"/>
        <v>1</v>
      </c>
      <c r="J179" s="36">
        <v>17.0</v>
      </c>
      <c r="K179" s="36">
        <f t="shared" si="5"/>
        <v>1</v>
      </c>
      <c r="L179" s="36">
        <f t="shared" si="6"/>
        <v>6</v>
      </c>
      <c r="M179" s="36">
        <f t="shared" si="7"/>
        <v>16</v>
      </c>
      <c r="N179" s="36">
        <f t="shared" si="8"/>
        <v>31</v>
      </c>
      <c r="O179" s="36">
        <f t="shared" si="9"/>
        <v>51</v>
      </c>
      <c r="P179" s="36">
        <f t="shared" si="10"/>
        <v>76</v>
      </c>
    </row>
    <row r="180" ht="15.75" customHeight="1">
      <c r="B180" s="29" t="s">
        <v>221</v>
      </c>
      <c r="C180" s="29" t="s">
        <v>46</v>
      </c>
      <c r="D180" s="59" t="s">
        <v>233</v>
      </c>
      <c r="E180" s="239">
        <f t="shared" si="4"/>
        <v>21</v>
      </c>
      <c r="F180" s="250">
        <v>6.0</v>
      </c>
      <c r="G180" s="240" t="s">
        <v>48</v>
      </c>
      <c r="H180" s="248">
        <v>2022.0</v>
      </c>
      <c r="I180" s="29">
        <f t="shared" si="11"/>
        <v>3</v>
      </c>
      <c r="J180" s="36"/>
      <c r="K180" s="36">
        <f t="shared" si="5"/>
        <v>6</v>
      </c>
      <c r="L180" s="36">
        <f t="shared" si="6"/>
        <v>11</v>
      </c>
      <c r="M180" s="36">
        <f t="shared" si="7"/>
        <v>21</v>
      </c>
      <c r="N180" s="36">
        <f t="shared" si="8"/>
        <v>36</v>
      </c>
      <c r="O180" s="36">
        <f t="shared" si="9"/>
        <v>56</v>
      </c>
      <c r="P180" s="36">
        <f t="shared" si="10"/>
        <v>81</v>
      </c>
    </row>
    <row r="181" ht="15.75" customHeight="1">
      <c r="B181" s="29" t="s">
        <v>221</v>
      </c>
      <c r="C181" s="29" t="s">
        <v>46</v>
      </c>
      <c r="D181" s="59" t="s">
        <v>378</v>
      </c>
      <c r="E181" s="239">
        <f t="shared" si="4"/>
        <v>7</v>
      </c>
      <c r="F181" s="260">
        <v>2.0</v>
      </c>
      <c r="G181" s="240" t="s">
        <v>765</v>
      </c>
      <c r="H181" s="248">
        <v>2023.0</v>
      </c>
      <c r="I181" s="29">
        <f t="shared" si="11"/>
        <v>2</v>
      </c>
      <c r="J181" s="36"/>
      <c r="K181" s="36">
        <f t="shared" si="5"/>
        <v>2</v>
      </c>
      <c r="L181" s="36">
        <f t="shared" si="6"/>
        <v>7</v>
      </c>
      <c r="M181" s="36">
        <f t="shared" si="7"/>
        <v>17</v>
      </c>
      <c r="N181" s="36">
        <f t="shared" si="8"/>
        <v>32</v>
      </c>
      <c r="O181" s="36">
        <f t="shared" si="9"/>
        <v>52</v>
      </c>
      <c r="P181" s="36">
        <f t="shared" si="10"/>
        <v>77</v>
      </c>
    </row>
    <row r="182" ht="15.75" customHeight="1">
      <c r="B182" s="29" t="s">
        <v>221</v>
      </c>
      <c r="C182" s="29" t="s">
        <v>46</v>
      </c>
      <c r="D182" s="59" t="s">
        <v>806</v>
      </c>
      <c r="E182" s="239">
        <f t="shared" si="4"/>
        <v>7</v>
      </c>
      <c r="F182" s="250">
        <v>2.0</v>
      </c>
      <c r="G182" s="240" t="s">
        <v>765</v>
      </c>
      <c r="H182" s="248">
        <v>2023.0</v>
      </c>
      <c r="I182" s="29">
        <f t="shared" si="11"/>
        <v>2</v>
      </c>
      <c r="J182" s="36"/>
      <c r="K182" s="36">
        <f t="shared" si="5"/>
        <v>2</v>
      </c>
      <c r="L182" s="36">
        <f t="shared" si="6"/>
        <v>7</v>
      </c>
      <c r="M182" s="36">
        <f t="shared" si="7"/>
        <v>17</v>
      </c>
      <c r="N182" s="36">
        <f t="shared" si="8"/>
        <v>32</v>
      </c>
      <c r="O182" s="36">
        <f t="shared" si="9"/>
        <v>52</v>
      </c>
      <c r="P182" s="36">
        <f t="shared" si="10"/>
        <v>77</v>
      </c>
    </row>
    <row r="183" ht="15.75" customHeight="1">
      <c r="B183" s="29" t="s">
        <v>221</v>
      </c>
      <c r="C183" s="29" t="s">
        <v>46</v>
      </c>
      <c r="D183" s="59" t="s">
        <v>807</v>
      </c>
      <c r="E183" s="239">
        <f t="shared" si="4"/>
        <v>7</v>
      </c>
      <c r="F183" s="250">
        <v>2.0</v>
      </c>
      <c r="G183" s="240" t="s">
        <v>765</v>
      </c>
      <c r="H183" s="248">
        <v>2023.0</v>
      </c>
      <c r="I183" s="29">
        <f t="shared" si="11"/>
        <v>2</v>
      </c>
      <c r="J183" s="36"/>
      <c r="K183" s="36">
        <f t="shared" si="5"/>
        <v>2</v>
      </c>
      <c r="L183" s="36">
        <f t="shared" si="6"/>
        <v>7</v>
      </c>
      <c r="M183" s="36">
        <f t="shared" si="7"/>
        <v>17</v>
      </c>
      <c r="N183" s="36">
        <f t="shared" si="8"/>
        <v>32</v>
      </c>
      <c r="O183" s="36">
        <f t="shared" si="9"/>
        <v>52</v>
      </c>
      <c r="P183" s="36">
        <f t="shared" si="10"/>
        <v>77</v>
      </c>
    </row>
    <row r="184" ht="15.75" customHeight="1">
      <c r="B184" s="29" t="s">
        <v>221</v>
      </c>
      <c r="C184" s="29" t="s">
        <v>46</v>
      </c>
      <c r="D184" s="59" t="s">
        <v>808</v>
      </c>
      <c r="E184" s="239">
        <f t="shared" si="4"/>
        <v>7</v>
      </c>
      <c r="F184" s="250">
        <v>2.0</v>
      </c>
      <c r="G184" s="240" t="s">
        <v>765</v>
      </c>
      <c r="H184" s="248">
        <v>2023.0</v>
      </c>
      <c r="I184" s="29">
        <f t="shared" si="11"/>
        <v>2</v>
      </c>
      <c r="J184" s="36"/>
      <c r="K184" s="36">
        <f t="shared" si="5"/>
        <v>2</v>
      </c>
      <c r="L184" s="36">
        <f t="shared" si="6"/>
        <v>7</v>
      </c>
      <c r="M184" s="36">
        <f t="shared" si="7"/>
        <v>17</v>
      </c>
      <c r="N184" s="36">
        <f t="shared" si="8"/>
        <v>32</v>
      </c>
      <c r="O184" s="36">
        <f t="shared" si="9"/>
        <v>52</v>
      </c>
      <c r="P184" s="36">
        <f t="shared" si="10"/>
        <v>77</v>
      </c>
    </row>
    <row r="185" ht="15.75" customHeight="1">
      <c r="B185" s="29" t="s">
        <v>221</v>
      </c>
      <c r="C185" s="29" t="s">
        <v>46</v>
      </c>
      <c r="D185" s="59" t="s">
        <v>809</v>
      </c>
      <c r="E185" s="239">
        <f t="shared" si="4"/>
        <v>7</v>
      </c>
      <c r="F185" s="250">
        <v>2.0</v>
      </c>
      <c r="G185" s="240" t="s">
        <v>765</v>
      </c>
      <c r="H185" s="248">
        <v>2023.0</v>
      </c>
      <c r="I185" s="29">
        <f t="shared" si="11"/>
        <v>2</v>
      </c>
      <c r="J185" s="36"/>
      <c r="K185" s="36">
        <f t="shared" si="5"/>
        <v>2</v>
      </c>
      <c r="L185" s="36">
        <f t="shared" si="6"/>
        <v>7</v>
      </c>
      <c r="M185" s="36">
        <f t="shared" si="7"/>
        <v>17</v>
      </c>
      <c r="N185" s="36">
        <f t="shared" si="8"/>
        <v>32</v>
      </c>
      <c r="O185" s="36">
        <f t="shared" si="9"/>
        <v>52</v>
      </c>
      <c r="P185" s="36">
        <f t="shared" si="10"/>
        <v>77</v>
      </c>
    </row>
    <row r="186" ht="15.75" customHeight="1">
      <c r="B186" s="29" t="s">
        <v>221</v>
      </c>
      <c r="C186" s="29" t="s">
        <v>46</v>
      </c>
      <c r="D186" s="59" t="s">
        <v>810</v>
      </c>
      <c r="E186" s="239">
        <f t="shared" si="4"/>
        <v>6</v>
      </c>
      <c r="F186" s="258">
        <v>1.0</v>
      </c>
      <c r="G186" s="240" t="s">
        <v>48</v>
      </c>
      <c r="H186" s="248">
        <v>2023.0</v>
      </c>
      <c r="I186" s="29">
        <f t="shared" si="11"/>
        <v>2</v>
      </c>
      <c r="J186" s="36"/>
      <c r="K186" s="36">
        <f t="shared" si="5"/>
        <v>1</v>
      </c>
      <c r="L186" s="36">
        <f t="shared" si="6"/>
        <v>6</v>
      </c>
      <c r="M186" s="36">
        <f t="shared" si="7"/>
        <v>16</v>
      </c>
      <c r="N186" s="36">
        <f t="shared" si="8"/>
        <v>31</v>
      </c>
      <c r="O186" s="36">
        <f t="shared" si="9"/>
        <v>51</v>
      </c>
      <c r="P186" s="36">
        <f t="shared" si="10"/>
        <v>76</v>
      </c>
    </row>
    <row r="187" ht="15.75" customHeight="1">
      <c r="B187" s="29" t="s">
        <v>221</v>
      </c>
      <c r="C187" s="28" t="s">
        <v>46</v>
      </c>
      <c r="D187" s="58" t="s">
        <v>310</v>
      </c>
      <c r="E187" s="239">
        <f t="shared" si="4"/>
        <v>2</v>
      </c>
      <c r="F187" s="253">
        <v>2.0</v>
      </c>
      <c r="G187" s="247" t="s">
        <v>19</v>
      </c>
      <c r="H187" s="251">
        <v>2024.0</v>
      </c>
      <c r="I187" s="29">
        <f t="shared" si="11"/>
        <v>1</v>
      </c>
      <c r="J187" s="36">
        <v>17.0</v>
      </c>
      <c r="K187" s="36">
        <f t="shared" si="5"/>
        <v>2</v>
      </c>
      <c r="L187" s="36">
        <f t="shared" si="6"/>
        <v>7</v>
      </c>
      <c r="M187" s="36">
        <f t="shared" si="7"/>
        <v>17</v>
      </c>
      <c r="N187" s="36">
        <f t="shared" si="8"/>
        <v>32</v>
      </c>
      <c r="O187" s="36">
        <f t="shared" si="9"/>
        <v>52</v>
      </c>
      <c r="P187" s="36">
        <f t="shared" si="10"/>
        <v>77</v>
      </c>
    </row>
    <row r="188" ht="15.75" customHeight="1">
      <c r="B188" s="28" t="s">
        <v>245</v>
      </c>
      <c r="C188" s="28" t="s">
        <v>55</v>
      </c>
      <c r="D188" s="58" t="s">
        <v>129</v>
      </c>
      <c r="E188" s="239">
        <f t="shared" si="4"/>
        <v>1</v>
      </c>
      <c r="F188" s="253">
        <v>1.0</v>
      </c>
      <c r="G188" s="247" t="s">
        <v>19</v>
      </c>
      <c r="H188" s="251">
        <v>2024.0</v>
      </c>
      <c r="I188" s="29">
        <f t="shared" si="11"/>
        <v>1</v>
      </c>
      <c r="J188" s="36">
        <v>17.0</v>
      </c>
      <c r="K188" s="36">
        <f t="shared" si="5"/>
        <v>1</v>
      </c>
      <c r="L188" s="36">
        <f t="shared" si="6"/>
        <v>6</v>
      </c>
      <c r="M188" s="36">
        <f t="shared" si="7"/>
        <v>16</v>
      </c>
      <c r="N188" s="36">
        <f t="shared" si="8"/>
        <v>31</v>
      </c>
      <c r="O188" s="36">
        <f t="shared" si="9"/>
        <v>51</v>
      </c>
      <c r="P188" s="36">
        <f t="shared" si="10"/>
        <v>76</v>
      </c>
    </row>
    <row r="189" ht="15.75" customHeight="1">
      <c r="B189" s="29" t="s">
        <v>245</v>
      </c>
      <c r="C189" s="29" t="s">
        <v>760</v>
      </c>
      <c r="D189" s="59" t="s">
        <v>760</v>
      </c>
      <c r="E189" s="239">
        <f t="shared" si="4"/>
        <v>6</v>
      </c>
      <c r="F189" s="250"/>
      <c r="G189" s="240" t="s">
        <v>48</v>
      </c>
      <c r="H189" s="248">
        <v>2023.0</v>
      </c>
      <c r="I189" s="29">
        <f t="shared" si="11"/>
        <v>2</v>
      </c>
      <c r="J189" s="36"/>
      <c r="K189" s="36">
        <f t="shared" si="5"/>
        <v>1</v>
      </c>
      <c r="L189" s="36">
        <f t="shared" si="6"/>
        <v>6</v>
      </c>
      <c r="M189" s="36">
        <f t="shared" si="7"/>
        <v>16</v>
      </c>
      <c r="N189" s="36">
        <f t="shared" si="8"/>
        <v>31</v>
      </c>
      <c r="O189" s="36">
        <f t="shared" si="9"/>
        <v>51</v>
      </c>
      <c r="P189" s="36">
        <f t="shared" si="10"/>
        <v>76</v>
      </c>
    </row>
    <row r="190" ht="15.75" customHeight="1">
      <c r="B190" s="29" t="s">
        <v>245</v>
      </c>
      <c r="C190" s="29" t="s">
        <v>55</v>
      </c>
      <c r="D190" s="59" t="s">
        <v>375</v>
      </c>
      <c r="E190" s="239">
        <f t="shared" si="4"/>
        <v>15</v>
      </c>
      <c r="F190" s="250">
        <v>10.0</v>
      </c>
      <c r="G190" s="240" t="s">
        <v>48</v>
      </c>
      <c r="H190" s="248">
        <v>2023.0</v>
      </c>
      <c r="I190" s="29">
        <f t="shared" si="11"/>
        <v>2</v>
      </c>
      <c r="J190" s="36"/>
      <c r="K190" s="36">
        <f t="shared" si="5"/>
        <v>10</v>
      </c>
      <c r="L190" s="36">
        <f t="shared" si="6"/>
        <v>15</v>
      </c>
      <c r="M190" s="36">
        <f t="shared" si="7"/>
        <v>25</v>
      </c>
      <c r="N190" s="36">
        <f t="shared" si="8"/>
        <v>40</v>
      </c>
      <c r="O190" s="36">
        <f t="shared" si="9"/>
        <v>60</v>
      </c>
      <c r="P190" s="36">
        <f t="shared" si="10"/>
        <v>85</v>
      </c>
    </row>
    <row r="191" ht="15.75" customHeight="1">
      <c r="B191" s="29" t="s">
        <v>245</v>
      </c>
      <c r="C191" s="50" t="s">
        <v>55</v>
      </c>
      <c r="D191" s="59" t="s">
        <v>811</v>
      </c>
      <c r="E191" s="239">
        <f t="shared" si="4"/>
        <v>7</v>
      </c>
      <c r="F191" s="250">
        <v>2.0</v>
      </c>
      <c r="G191" s="240" t="s">
        <v>765</v>
      </c>
      <c r="H191" s="248">
        <v>2023.0</v>
      </c>
      <c r="I191" s="29">
        <f t="shared" si="11"/>
        <v>2</v>
      </c>
      <c r="J191" s="36"/>
      <c r="K191" s="36">
        <f t="shared" si="5"/>
        <v>2</v>
      </c>
      <c r="L191" s="36">
        <f t="shared" si="6"/>
        <v>7</v>
      </c>
      <c r="M191" s="36">
        <f t="shared" si="7"/>
        <v>17</v>
      </c>
      <c r="N191" s="36">
        <f t="shared" si="8"/>
        <v>32</v>
      </c>
      <c r="O191" s="36">
        <f t="shared" si="9"/>
        <v>52</v>
      </c>
      <c r="P191" s="36">
        <f t="shared" si="10"/>
        <v>77</v>
      </c>
    </row>
    <row r="192" ht="15.75" customHeight="1">
      <c r="B192" s="29" t="s">
        <v>245</v>
      </c>
      <c r="C192" s="50" t="s">
        <v>55</v>
      </c>
      <c r="D192" s="59" t="s">
        <v>812</v>
      </c>
      <c r="E192" s="239">
        <f t="shared" si="4"/>
        <v>7</v>
      </c>
      <c r="F192" s="250">
        <v>2.0</v>
      </c>
      <c r="G192" s="240" t="s">
        <v>765</v>
      </c>
      <c r="H192" s="248">
        <v>2023.0</v>
      </c>
      <c r="I192" s="29">
        <f t="shared" si="11"/>
        <v>2</v>
      </c>
      <c r="J192" s="36"/>
      <c r="K192" s="36">
        <f t="shared" si="5"/>
        <v>2</v>
      </c>
      <c r="L192" s="36">
        <f t="shared" si="6"/>
        <v>7</v>
      </c>
      <c r="M192" s="36">
        <f t="shared" si="7"/>
        <v>17</v>
      </c>
      <c r="N192" s="36">
        <f t="shared" si="8"/>
        <v>32</v>
      </c>
      <c r="O192" s="36">
        <f t="shared" si="9"/>
        <v>52</v>
      </c>
      <c r="P192" s="36">
        <f t="shared" si="10"/>
        <v>77</v>
      </c>
    </row>
    <row r="193" ht="15.75" customHeight="1">
      <c r="B193" s="29" t="s">
        <v>245</v>
      </c>
      <c r="C193" s="29" t="s">
        <v>55</v>
      </c>
      <c r="D193" s="59" t="s">
        <v>122</v>
      </c>
      <c r="E193" s="239">
        <f t="shared" si="4"/>
        <v>7</v>
      </c>
      <c r="F193" s="250">
        <v>2.0</v>
      </c>
      <c r="G193" s="240" t="s">
        <v>765</v>
      </c>
      <c r="H193" s="248">
        <v>2023.0</v>
      </c>
      <c r="I193" s="29">
        <f t="shared" si="11"/>
        <v>2</v>
      </c>
      <c r="J193" s="36"/>
      <c r="K193" s="36">
        <f t="shared" si="5"/>
        <v>2</v>
      </c>
      <c r="L193" s="36">
        <f t="shared" si="6"/>
        <v>7</v>
      </c>
      <c r="M193" s="36">
        <f t="shared" si="7"/>
        <v>17</v>
      </c>
      <c r="N193" s="36">
        <f t="shared" si="8"/>
        <v>32</v>
      </c>
      <c r="O193" s="36">
        <f t="shared" si="9"/>
        <v>52</v>
      </c>
      <c r="P193" s="36">
        <f t="shared" si="10"/>
        <v>77</v>
      </c>
    </row>
    <row r="194" ht="15.75" customHeight="1">
      <c r="B194" s="29" t="s">
        <v>245</v>
      </c>
      <c r="C194" s="28" t="s">
        <v>55</v>
      </c>
      <c r="D194" s="58" t="s">
        <v>276</v>
      </c>
      <c r="E194" s="239">
        <f t="shared" si="4"/>
        <v>2</v>
      </c>
      <c r="F194" s="253">
        <v>2.0</v>
      </c>
      <c r="G194" s="247" t="s">
        <v>19</v>
      </c>
      <c r="H194" s="251">
        <v>2024.0</v>
      </c>
      <c r="I194" s="29">
        <f t="shared" si="11"/>
        <v>1</v>
      </c>
      <c r="J194" s="36">
        <v>17.0</v>
      </c>
      <c r="K194" s="36">
        <f t="shared" si="5"/>
        <v>2</v>
      </c>
      <c r="L194" s="36">
        <f t="shared" si="6"/>
        <v>7</v>
      </c>
      <c r="M194" s="36">
        <f t="shared" si="7"/>
        <v>17</v>
      </c>
      <c r="N194" s="36">
        <f t="shared" si="8"/>
        <v>32</v>
      </c>
      <c r="O194" s="36">
        <f t="shared" si="9"/>
        <v>52</v>
      </c>
      <c r="P194" s="36">
        <f t="shared" si="10"/>
        <v>77</v>
      </c>
    </row>
    <row r="195" ht="15.75" customHeight="1">
      <c r="B195" s="29" t="s">
        <v>245</v>
      </c>
      <c r="C195" s="29" t="s">
        <v>51</v>
      </c>
      <c r="D195" s="59" t="s">
        <v>396</v>
      </c>
      <c r="E195" s="239">
        <f t="shared" si="4"/>
        <v>8</v>
      </c>
      <c r="F195" s="250">
        <v>3.0</v>
      </c>
      <c r="G195" s="240" t="s">
        <v>48</v>
      </c>
      <c r="H195" s="248">
        <v>2023.0</v>
      </c>
      <c r="I195" s="29">
        <f t="shared" si="11"/>
        <v>2</v>
      </c>
      <c r="J195" s="36"/>
      <c r="K195" s="36">
        <f t="shared" si="5"/>
        <v>3</v>
      </c>
      <c r="L195" s="36">
        <f t="shared" si="6"/>
        <v>8</v>
      </c>
      <c r="M195" s="36">
        <f t="shared" si="7"/>
        <v>18</v>
      </c>
      <c r="N195" s="36">
        <f t="shared" si="8"/>
        <v>33</v>
      </c>
      <c r="O195" s="36">
        <f t="shared" si="9"/>
        <v>53</v>
      </c>
      <c r="P195" s="36">
        <f t="shared" si="10"/>
        <v>78</v>
      </c>
    </row>
    <row r="196" ht="15.75" customHeight="1">
      <c r="B196" s="29" t="s">
        <v>245</v>
      </c>
      <c r="C196" s="29" t="s">
        <v>51</v>
      </c>
      <c r="D196" s="59" t="s">
        <v>251</v>
      </c>
      <c r="E196" s="239">
        <f t="shared" si="4"/>
        <v>62</v>
      </c>
      <c r="F196" s="250">
        <v>57.0</v>
      </c>
      <c r="G196" s="240" t="s">
        <v>48</v>
      </c>
      <c r="H196" s="248">
        <v>2023.0</v>
      </c>
      <c r="I196" s="29">
        <f t="shared" si="11"/>
        <v>2</v>
      </c>
      <c r="J196" s="36"/>
      <c r="K196" s="36">
        <f t="shared" si="5"/>
        <v>57</v>
      </c>
      <c r="L196" s="36">
        <f t="shared" si="6"/>
        <v>62</v>
      </c>
      <c r="M196" s="36">
        <f t="shared" si="7"/>
        <v>72</v>
      </c>
      <c r="N196" s="36">
        <f t="shared" si="8"/>
        <v>87</v>
      </c>
      <c r="O196" s="36">
        <f t="shared" si="9"/>
        <v>107</v>
      </c>
      <c r="P196" s="36">
        <f t="shared" si="10"/>
        <v>132</v>
      </c>
    </row>
    <row r="197" ht="15.75" customHeight="1">
      <c r="B197" s="29" t="s">
        <v>245</v>
      </c>
      <c r="C197" s="29" t="s">
        <v>51</v>
      </c>
      <c r="D197" s="59" t="s">
        <v>207</v>
      </c>
      <c r="E197" s="239">
        <f t="shared" si="4"/>
        <v>31</v>
      </c>
      <c r="F197" s="250">
        <v>1.0</v>
      </c>
      <c r="G197" s="240" t="s">
        <v>48</v>
      </c>
      <c r="H197" s="248">
        <v>2021.0</v>
      </c>
      <c r="I197" s="29">
        <f t="shared" si="11"/>
        <v>4</v>
      </c>
      <c r="J197" s="36"/>
      <c r="K197" s="36">
        <f t="shared" si="5"/>
        <v>1</v>
      </c>
      <c r="L197" s="36">
        <f t="shared" si="6"/>
        <v>6</v>
      </c>
      <c r="M197" s="36">
        <f t="shared" si="7"/>
        <v>16</v>
      </c>
      <c r="N197" s="36">
        <f t="shared" si="8"/>
        <v>31</v>
      </c>
      <c r="O197" s="36">
        <f t="shared" si="9"/>
        <v>51</v>
      </c>
      <c r="P197" s="36">
        <f t="shared" si="10"/>
        <v>76</v>
      </c>
    </row>
    <row r="198" ht="15.75" customHeight="1">
      <c r="B198" s="28" t="s">
        <v>297</v>
      </c>
      <c r="C198" s="29" t="s">
        <v>51</v>
      </c>
      <c r="D198" s="59" t="s">
        <v>364</v>
      </c>
      <c r="E198" s="239">
        <f t="shared" si="4"/>
        <v>20</v>
      </c>
      <c r="F198" s="250">
        <v>5.0</v>
      </c>
      <c r="G198" s="240" t="s">
        <v>48</v>
      </c>
      <c r="H198" s="248">
        <v>2022.0</v>
      </c>
      <c r="I198" s="29">
        <f t="shared" si="11"/>
        <v>3</v>
      </c>
      <c r="J198" s="36"/>
      <c r="K198" s="36">
        <f t="shared" si="5"/>
        <v>5</v>
      </c>
      <c r="L198" s="36">
        <f t="shared" si="6"/>
        <v>10</v>
      </c>
      <c r="M198" s="36">
        <f t="shared" si="7"/>
        <v>20</v>
      </c>
      <c r="N198" s="36">
        <f t="shared" si="8"/>
        <v>35</v>
      </c>
      <c r="O198" s="36">
        <f t="shared" si="9"/>
        <v>55</v>
      </c>
      <c r="P198" s="36">
        <f t="shared" si="10"/>
        <v>80</v>
      </c>
    </row>
    <row r="199" ht="15.75" customHeight="1">
      <c r="B199" s="28" t="s">
        <v>174</v>
      </c>
      <c r="C199" s="29" t="s">
        <v>51</v>
      </c>
      <c r="D199" s="59" t="s">
        <v>757</v>
      </c>
      <c r="E199" s="239">
        <f t="shared" si="4"/>
        <v>8</v>
      </c>
      <c r="F199" s="250">
        <v>3.0</v>
      </c>
      <c r="G199" s="240" t="s">
        <v>48</v>
      </c>
      <c r="H199" s="29">
        <v>2023.0</v>
      </c>
      <c r="I199" s="29">
        <f t="shared" si="11"/>
        <v>2</v>
      </c>
      <c r="J199" s="36"/>
      <c r="K199" s="36">
        <f t="shared" si="5"/>
        <v>3</v>
      </c>
      <c r="L199" s="36">
        <f t="shared" si="6"/>
        <v>8</v>
      </c>
      <c r="M199" s="36">
        <f t="shared" si="7"/>
        <v>18</v>
      </c>
      <c r="N199" s="36">
        <f t="shared" si="8"/>
        <v>33</v>
      </c>
      <c r="O199" s="36">
        <f t="shared" si="9"/>
        <v>53</v>
      </c>
      <c r="P199" s="36">
        <f t="shared" si="10"/>
        <v>78</v>
      </c>
    </row>
    <row r="200" ht="15.75" customHeight="1">
      <c r="B200" s="29" t="s">
        <v>245</v>
      </c>
      <c r="C200" s="29" t="s">
        <v>51</v>
      </c>
      <c r="D200" s="59" t="s">
        <v>813</v>
      </c>
      <c r="E200" s="239">
        <f t="shared" si="4"/>
        <v>21</v>
      </c>
      <c r="F200" s="250">
        <v>16.0</v>
      </c>
      <c r="G200" s="240" t="s">
        <v>48</v>
      </c>
      <c r="H200" s="29">
        <v>2023.0</v>
      </c>
      <c r="I200" s="29">
        <f t="shared" si="11"/>
        <v>2</v>
      </c>
      <c r="J200" s="36"/>
      <c r="K200" s="36">
        <f t="shared" si="5"/>
        <v>16</v>
      </c>
      <c r="L200" s="36">
        <f t="shared" si="6"/>
        <v>21</v>
      </c>
      <c r="M200" s="36">
        <f t="shared" si="7"/>
        <v>31</v>
      </c>
      <c r="N200" s="36">
        <f t="shared" si="8"/>
        <v>46</v>
      </c>
      <c r="O200" s="36">
        <f t="shared" si="9"/>
        <v>66</v>
      </c>
      <c r="P200" s="36">
        <f t="shared" si="10"/>
        <v>91</v>
      </c>
    </row>
    <row r="201" ht="15.75" customHeight="1">
      <c r="B201" s="29" t="s">
        <v>245</v>
      </c>
      <c r="C201" s="29" t="s">
        <v>51</v>
      </c>
      <c r="D201" s="59" t="s">
        <v>370</v>
      </c>
      <c r="E201" s="239">
        <f t="shared" si="4"/>
        <v>7</v>
      </c>
      <c r="F201" s="250">
        <v>2.0</v>
      </c>
      <c r="G201" s="240" t="s">
        <v>765</v>
      </c>
      <c r="H201" s="29">
        <v>2023.0</v>
      </c>
      <c r="I201" s="29">
        <f t="shared" si="11"/>
        <v>2</v>
      </c>
      <c r="J201" s="36"/>
      <c r="K201" s="36">
        <f t="shared" si="5"/>
        <v>2</v>
      </c>
      <c r="L201" s="36">
        <f t="shared" si="6"/>
        <v>7</v>
      </c>
      <c r="M201" s="36">
        <f t="shared" si="7"/>
        <v>17</v>
      </c>
      <c r="N201" s="36">
        <f t="shared" si="8"/>
        <v>32</v>
      </c>
      <c r="O201" s="36">
        <f t="shared" si="9"/>
        <v>52</v>
      </c>
      <c r="P201" s="36">
        <f t="shared" si="10"/>
        <v>77</v>
      </c>
    </row>
    <row r="202" ht="15.75" customHeight="1">
      <c r="B202" s="29" t="s">
        <v>245</v>
      </c>
      <c r="C202" s="29" t="s">
        <v>60</v>
      </c>
      <c r="D202" s="59" t="s">
        <v>156</v>
      </c>
      <c r="E202" s="239">
        <f t="shared" si="4"/>
        <v>7</v>
      </c>
      <c r="F202" s="250">
        <v>2.0</v>
      </c>
      <c r="G202" s="240" t="s">
        <v>765</v>
      </c>
      <c r="H202" s="29">
        <v>2023.0</v>
      </c>
      <c r="I202" s="29">
        <f t="shared" si="11"/>
        <v>2</v>
      </c>
      <c r="J202" s="36"/>
      <c r="K202" s="36">
        <f t="shared" si="5"/>
        <v>2</v>
      </c>
      <c r="L202" s="36">
        <f t="shared" si="6"/>
        <v>7</v>
      </c>
      <c r="M202" s="36">
        <f t="shared" si="7"/>
        <v>17</v>
      </c>
      <c r="N202" s="36">
        <f t="shared" si="8"/>
        <v>32</v>
      </c>
      <c r="O202" s="36">
        <f t="shared" si="9"/>
        <v>52</v>
      </c>
      <c r="P202" s="36">
        <f t="shared" si="10"/>
        <v>77</v>
      </c>
    </row>
    <row r="203" ht="15.75" customHeight="1">
      <c r="B203" s="29" t="s">
        <v>245</v>
      </c>
      <c r="C203" s="29" t="s">
        <v>60</v>
      </c>
      <c r="D203" s="59" t="s">
        <v>91</v>
      </c>
      <c r="E203" s="239">
        <f t="shared" si="4"/>
        <v>38</v>
      </c>
      <c r="F203" s="250">
        <v>33.0</v>
      </c>
      <c r="G203" s="240" t="s">
        <v>48</v>
      </c>
      <c r="H203" s="29">
        <v>2023.0</v>
      </c>
      <c r="I203" s="29">
        <f t="shared" si="11"/>
        <v>2</v>
      </c>
      <c r="J203" s="36"/>
      <c r="K203" s="36">
        <f t="shared" si="5"/>
        <v>33</v>
      </c>
      <c r="L203" s="36">
        <f t="shared" si="6"/>
        <v>38</v>
      </c>
      <c r="M203" s="36">
        <f t="shared" si="7"/>
        <v>48</v>
      </c>
      <c r="N203" s="36">
        <f t="shared" si="8"/>
        <v>63</v>
      </c>
      <c r="O203" s="36">
        <f t="shared" si="9"/>
        <v>83</v>
      </c>
      <c r="P203" s="36">
        <f t="shared" si="10"/>
        <v>108</v>
      </c>
    </row>
    <row r="204" ht="15.75" customHeight="1">
      <c r="B204" s="29" t="s">
        <v>245</v>
      </c>
      <c r="C204" s="50" t="s">
        <v>60</v>
      </c>
      <c r="D204" s="59" t="s">
        <v>219</v>
      </c>
      <c r="E204" s="239">
        <f t="shared" si="4"/>
        <v>6</v>
      </c>
      <c r="F204" s="250">
        <v>1.0</v>
      </c>
      <c r="G204" s="240" t="s">
        <v>48</v>
      </c>
      <c r="H204" s="29">
        <v>2023.0</v>
      </c>
      <c r="I204" s="29">
        <f t="shared" si="11"/>
        <v>2</v>
      </c>
      <c r="J204" s="36"/>
      <c r="K204" s="36">
        <f t="shared" si="5"/>
        <v>1</v>
      </c>
      <c r="L204" s="36">
        <f t="shared" si="6"/>
        <v>6</v>
      </c>
      <c r="M204" s="36">
        <f t="shared" si="7"/>
        <v>16</v>
      </c>
      <c r="N204" s="36">
        <f t="shared" si="8"/>
        <v>31</v>
      </c>
      <c r="O204" s="36">
        <f t="shared" si="9"/>
        <v>51</v>
      </c>
      <c r="P204" s="36">
        <f t="shared" si="10"/>
        <v>76</v>
      </c>
    </row>
    <row r="205" ht="15.75" customHeight="1">
      <c r="B205" s="28" t="s">
        <v>245</v>
      </c>
      <c r="C205" s="50" t="s">
        <v>46</v>
      </c>
      <c r="D205" s="59" t="s">
        <v>331</v>
      </c>
      <c r="E205" s="239">
        <f t="shared" si="4"/>
        <v>7</v>
      </c>
      <c r="F205" s="250">
        <v>2.0</v>
      </c>
      <c r="G205" s="240" t="s">
        <v>765</v>
      </c>
      <c r="H205" s="29">
        <v>2023.0</v>
      </c>
      <c r="I205" s="29">
        <f t="shared" si="11"/>
        <v>2</v>
      </c>
      <c r="J205" s="36"/>
      <c r="K205" s="36">
        <f t="shared" si="5"/>
        <v>2</v>
      </c>
      <c r="L205" s="36">
        <f t="shared" si="6"/>
        <v>7</v>
      </c>
      <c r="M205" s="36">
        <f t="shared" si="7"/>
        <v>17</v>
      </c>
      <c r="N205" s="36">
        <f t="shared" si="8"/>
        <v>32</v>
      </c>
      <c r="O205" s="36">
        <f t="shared" si="9"/>
        <v>52</v>
      </c>
      <c r="P205" s="36">
        <f t="shared" si="10"/>
        <v>77</v>
      </c>
    </row>
    <row r="206" ht="15.75" customHeight="1">
      <c r="B206" s="29" t="s">
        <v>245</v>
      </c>
      <c r="C206" s="29" t="s">
        <v>46</v>
      </c>
      <c r="D206" s="59" t="s">
        <v>814</v>
      </c>
      <c r="E206" s="239">
        <f t="shared" si="4"/>
        <v>7</v>
      </c>
      <c r="F206" s="258">
        <v>2.0</v>
      </c>
      <c r="G206" s="240" t="s">
        <v>765</v>
      </c>
      <c r="H206" s="29">
        <v>2023.0</v>
      </c>
      <c r="I206" s="29">
        <f t="shared" si="11"/>
        <v>2</v>
      </c>
      <c r="J206" s="36"/>
      <c r="K206" s="36">
        <f t="shared" si="5"/>
        <v>2</v>
      </c>
      <c r="L206" s="36">
        <f t="shared" si="6"/>
        <v>7</v>
      </c>
      <c r="M206" s="36">
        <f t="shared" si="7"/>
        <v>17</v>
      </c>
      <c r="N206" s="36">
        <f t="shared" si="8"/>
        <v>32</v>
      </c>
      <c r="O206" s="36">
        <f t="shared" si="9"/>
        <v>52</v>
      </c>
      <c r="P206" s="36">
        <f t="shared" si="10"/>
        <v>77</v>
      </c>
    </row>
    <row r="207" ht="15.75" customHeight="1">
      <c r="B207" s="29" t="s">
        <v>245</v>
      </c>
      <c r="C207" s="29" t="s">
        <v>46</v>
      </c>
      <c r="D207" s="59" t="s">
        <v>109</v>
      </c>
      <c r="E207" s="239">
        <f t="shared" si="4"/>
        <v>36</v>
      </c>
      <c r="F207" s="250">
        <v>31.0</v>
      </c>
      <c r="G207" s="240" t="s">
        <v>48</v>
      </c>
      <c r="H207" s="29">
        <v>2023.0</v>
      </c>
      <c r="I207" s="29">
        <f t="shared" si="11"/>
        <v>2</v>
      </c>
      <c r="J207" s="36"/>
      <c r="K207" s="36">
        <f t="shared" si="5"/>
        <v>31</v>
      </c>
      <c r="L207" s="36">
        <f t="shared" si="6"/>
        <v>36</v>
      </c>
      <c r="M207" s="36">
        <f t="shared" si="7"/>
        <v>46</v>
      </c>
      <c r="N207" s="36">
        <f t="shared" si="8"/>
        <v>61</v>
      </c>
      <c r="O207" s="36">
        <f t="shared" si="9"/>
        <v>81</v>
      </c>
      <c r="P207" s="36">
        <f t="shared" si="10"/>
        <v>106</v>
      </c>
    </row>
    <row r="208" ht="15.75" customHeight="1">
      <c r="B208" s="29" t="s">
        <v>245</v>
      </c>
      <c r="C208" s="50" t="s">
        <v>46</v>
      </c>
      <c r="D208" s="59" t="s">
        <v>815</v>
      </c>
      <c r="E208" s="239">
        <f t="shared" si="4"/>
        <v>32</v>
      </c>
      <c r="F208" s="250">
        <v>2.0</v>
      </c>
      <c r="G208" s="240" t="s">
        <v>48</v>
      </c>
      <c r="H208" s="29">
        <v>2021.0</v>
      </c>
      <c r="I208" s="29">
        <f t="shared" si="11"/>
        <v>4</v>
      </c>
      <c r="J208" s="36"/>
      <c r="K208" s="36">
        <f t="shared" si="5"/>
        <v>2</v>
      </c>
      <c r="L208" s="36">
        <f t="shared" si="6"/>
        <v>7</v>
      </c>
      <c r="M208" s="36">
        <f t="shared" si="7"/>
        <v>17</v>
      </c>
      <c r="N208" s="36">
        <f t="shared" si="8"/>
        <v>32</v>
      </c>
      <c r="O208" s="36">
        <f t="shared" si="9"/>
        <v>52</v>
      </c>
      <c r="P208" s="36">
        <f t="shared" si="10"/>
        <v>77</v>
      </c>
    </row>
    <row r="209" ht="15.75" customHeight="1">
      <c r="B209" s="29" t="s">
        <v>245</v>
      </c>
      <c r="C209" s="29" t="s">
        <v>46</v>
      </c>
      <c r="D209" s="59" t="s">
        <v>329</v>
      </c>
      <c r="E209" s="239">
        <f t="shared" si="4"/>
        <v>31</v>
      </c>
      <c r="F209" s="250">
        <v>1.0</v>
      </c>
      <c r="G209" s="240" t="s">
        <v>48</v>
      </c>
      <c r="H209" s="29">
        <v>2021.0</v>
      </c>
      <c r="I209" s="29">
        <f t="shared" si="11"/>
        <v>4</v>
      </c>
      <c r="J209" s="36"/>
      <c r="K209" s="36">
        <f t="shared" si="5"/>
        <v>1</v>
      </c>
      <c r="L209" s="36">
        <f t="shared" si="6"/>
        <v>6</v>
      </c>
      <c r="M209" s="36">
        <f t="shared" si="7"/>
        <v>16</v>
      </c>
      <c r="N209" s="36">
        <f t="shared" si="8"/>
        <v>31</v>
      </c>
      <c r="O209" s="36">
        <f t="shared" si="9"/>
        <v>51</v>
      </c>
      <c r="P209" s="36">
        <f t="shared" si="10"/>
        <v>76</v>
      </c>
    </row>
    <row r="210" ht="15.75" customHeight="1">
      <c r="B210" s="29" t="s">
        <v>245</v>
      </c>
      <c r="C210" s="50" t="s">
        <v>46</v>
      </c>
      <c r="D210" s="59" t="s">
        <v>381</v>
      </c>
      <c r="E210" s="239">
        <f t="shared" si="4"/>
        <v>8</v>
      </c>
      <c r="F210" s="250">
        <v>3.0</v>
      </c>
      <c r="G210" s="240" t="s">
        <v>48</v>
      </c>
      <c r="H210" s="29">
        <v>2023.0</v>
      </c>
      <c r="I210" s="29">
        <f t="shared" si="11"/>
        <v>2</v>
      </c>
      <c r="J210" s="36"/>
      <c r="K210" s="36">
        <f t="shared" si="5"/>
        <v>3</v>
      </c>
      <c r="L210" s="36">
        <f t="shared" si="6"/>
        <v>8</v>
      </c>
      <c r="M210" s="36">
        <f t="shared" si="7"/>
        <v>18</v>
      </c>
      <c r="N210" s="36">
        <f t="shared" si="8"/>
        <v>33</v>
      </c>
      <c r="O210" s="36">
        <f t="shared" si="9"/>
        <v>53</v>
      </c>
      <c r="P210" s="36">
        <f t="shared" si="10"/>
        <v>78</v>
      </c>
    </row>
    <row r="211" ht="15.75" customHeight="1">
      <c r="B211" s="28" t="s">
        <v>269</v>
      </c>
      <c r="C211" s="29" t="s">
        <v>760</v>
      </c>
      <c r="D211" s="59" t="s">
        <v>760</v>
      </c>
      <c r="E211" s="239">
        <f t="shared" si="4"/>
        <v>6</v>
      </c>
      <c r="F211" s="250"/>
      <c r="G211" s="240" t="s">
        <v>48</v>
      </c>
      <c r="H211" s="29">
        <v>2023.0</v>
      </c>
      <c r="I211" s="29">
        <f t="shared" si="11"/>
        <v>2</v>
      </c>
      <c r="J211" s="36">
        <v>17.0</v>
      </c>
      <c r="K211" s="36">
        <f t="shared" si="5"/>
        <v>1</v>
      </c>
      <c r="L211" s="36">
        <f t="shared" si="6"/>
        <v>6</v>
      </c>
      <c r="M211" s="36">
        <f t="shared" si="7"/>
        <v>16</v>
      </c>
      <c r="N211" s="36">
        <f t="shared" si="8"/>
        <v>31</v>
      </c>
      <c r="O211" s="36">
        <f t="shared" si="9"/>
        <v>51</v>
      </c>
      <c r="P211" s="36">
        <f t="shared" si="10"/>
        <v>76</v>
      </c>
    </row>
    <row r="212" ht="15.75" customHeight="1">
      <c r="B212" s="28" t="s">
        <v>269</v>
      </c>
      <c r="C212" s="29" t="s">
        <v>55</v>
      </c>
      <c r="D212" s="59" t="s">
        <v>730</v>
      </c>
      <c r="E212" s="239">
        <f t="shared" si="4"/>
        <v>7</v>
      </c>
      <c r="F212" s="258">
        <v>2.0</v>
      </c>
      <c r="G212" s="240" t="s">
        <v>765</v>
      </c>
      <c r="H212" s="29">
        <v>2023.0</v>
      </c>
      <c r="I212" s="29">
        <f t="shared" si="11"/>
        <v>2</v>
      </c>
      <c r="J212" s="36"/>
      <c r="K212" s="36">
        <f t="shared" si="5"/>
        <v>2</v>
      </c>
      <c r="L212" s="36">
        <f t="shared" si="6"/>
        <v>7</v>
      </c>
      <c r="M212" s="36">
        <f t="shared" si="7"/>
        <v>17</v>
      </c>
      <c r="N212" s="36">
        <f t="shared" si="8"/>
        <v>32</v>
      </c>
      <c r="O212" s="36">
        <f t="shared" si="9"/>
        <v>52</v>
      </c>
      <c r="P212" s="36">
        <f t="shared" si="10"/>
        <v>77</v>
      </c>
    </row>
    <row r="213" ht="15.75" customHeight="1">
      <c r="B213" s="28" t="s">
        <v>269</v>
      </c>
      <c r="C213" s="29" t="s">
        <v>55</v>
      </c>
      <c r="D213" s="59" t="s">
        <v>271</v>
      </c>
      <c r="E213" s="261">
        <v>107.0</v>
      </c>
      <c r="F213" s="250">
        <v>1.0</v>
      </c>
      <c r="G213" s="240" t="s">
        <v>48</v>
      </c>
      <c r="H213" s="29">
        <v>2018.0</v>
      </c>
      <c r="I213" s="29">
        <f t="shared" si="11"/>
        <v>7</v>
      </c>
      <c r="J213" s="36"/>
      <c r="K213" s="36">
        <f t="shared" si="5"/>
        <v>1</v>
      </c>
      <c r="L213" s="36">
        <f t="shared" si="6"/>
        <v>6</v>
      </c>
      <c r="M213" s="36">
        <f t="shared" si="7"/>
        <v>16</v>
      </c>
      <c r="N213" s="36">
        <f t="shared" si="8"/>
        <v>31</v>
      </c>
      <c r="O213" s="36">
        <f t="shared" si="9"/>
        <v>51</v>
      </c>
      <c r="P213" s="36">
        <f t="shared" si="10"/>
        <v>76</v>
      </c>
    </row>
    <row r="214" ht="15.75" customHeight="1">
      <c r="B214" s="28" t="s">
        <v>269</v>
      </c>
      <c r="C214" s="29" t="s">
        <v>55</v>
      </c>
      <c r="D214" s="59" t="s">
        <v>204</v>
      </c>
      <c r="E214" s="239">
        <f t="shared" ref="E214:E458" si="12">IF($I214=1,K214, IF($I214=2,L214, IF($I214=3,M214, IF($I214=4,N214, IF($I214=5,O214, IF($I214=6,P214, "Free Agent"))))))</f>
        <v>16</v>
      </c>
      <c r="F214" s="250">
        <v>1.0</v>
      </c>
      <c r="G214" s="240" t="s">
        <v>48</v>
      </c>
      <c r="H214" s="29">
        <v>2022.0</v>
      </c>
      <c r="I214" s="29">
        <f t="shared" si="11"/>
        <v>3</v>
      </c>
      <c r="J214" s="36"/>
      <c r="K214" s="36">
        <f t="shared" si="5"/>
        <v>1</v>
      </c>
      <c r="L214" s="36">
        <f t="shared" si="6"/>
        <v>6</v>
      </c>
      <c r="M214" s="36">
        <f t="shared" si="7"/>
        <v>16</v>
      </c>
      <c r="N214" s="36">
        <f t="shared" si="8"/>
        <v>31</v>
      </c>
      <c r="O214" s="36">
        <f t="shared" si="9"/>
        <v>51</v>
      </c>
      <c r="P214" s="36">
        <f t="shared" si="10"/>
        <v>76</v>
      </c>
    </row>
    <row r="215" ht="15.75" customHeight="1">
      <c r="B215" s="28" t="s">
        <v>269</v>
      </c>
      <c r="C215" s="29" t="s">
        <v>55</v>
      </c>
      <c r="D215" s="59" t="s">
        <v>96</v>
      </c>
      <c r="E215" s="239">
        <f t="shared" si="12"/>
        <v>59</v>
      </c>
      <c r="F215" s="250">
        <v>9.0</v>
      </c>
      <c r="G215" s="240" t="s">
        <v>48</v>
      </c>
      <c r="H215" s="29">
        <v>2020.0</v>
      </c>
      <c r="I215" s="29">
        <f t="shared" si="11"/>
        <v>5</v>
      </c>
      <c r="J215" s="36"/>
      <c r="K215" s="36">
        <f t="shared" si="5"/>
        <v>9</v>
      </c>
      <c r="L215" s="36">
        <f t="shared" si="6"/>
        <v>14</v>
      </c>
      <c r="M215" s="36">
        <f t="shared" si="7"/>
        <v>24</v>
      </c>
      <c r="N215" s="36">
        <f t="shared" si="8"/>
        <v>39</v>
      </c>
      <c r="O215" s="36">
        <f t="shared" si="9"/>
        <v>59</v>
      </c>
      <c r="P215" s="36">
        <f t="shared" si="10"/>
        <v>84</v>
      </c>
    </row>
    <row r="216" ht="15.75" customHeight="1">
      <c r="B216" s="28" t="s">
        <v>269</v>
      </c>
      <c r="C216" s="29" t="s">
        <v>55</v>
      </c>
      <c r="D216" s="59" t="s">
        <v>385</v>
      </c>
      <c r="E216" s="239">
        <f t="shared" si="12"/>
        <v>7</v>
      </c>
      <c r="F216" s="258">
        <v>2.0</v>
      </c>
      <c r="G216" s="240" t="s">
        <v>765</v>
      </c>
      <c r="H216" s="29">
        <v>2023.0</v>
      </c>
      <c r="I216" s="29">
        <f t="shared" si="11"/>
        <v>2</v>
      </c>
      <c r="J216" s="36"/>
      <c r="K216" s="36">
        <f t="shared" si="5"/>
        <v>2</v>
      </c>
      <c r="L216" s="36">
        <f t="shared" si="6"/>
        <v>7</v>
      </c>
      <c r="M216" s="36">
        <f t="shared" si="7"/>
        <v>17</v>
      </c>
      <c r="N216" s="36">
        <f t="shared" si="8"/>
        <v>32</v>
      </c>
      <c r="O216" s="36">
        <f t="shared" si="9"/>
        <v>52</v>
      </c>
      <c r="P216" s="36">
        <f t="shared" si="10"/>
        <v>77</v>
      </c>
    </row>
    <row r="217" ht="15.75" customHeight="1">
      <c r="B217" s="28" t="s">
        <v>269</v>
      </c>
      <c r="C217" s="29" t="s">
        <v>55</v>
      </c>
      <c r="D217" s="59" t="s">
        <v>295</v>
      </c>
      <c r="E217" s="239">
        <f t="shared" si="12"/>
        <v>7</v>
      </c>
      <c r="F217" s="250">
        <v>2.0</v>
      </c>
      <c r="G217" s="240" t="s">
        <v>765</v>
      </c>
      <c r="H217" s="29">
        <v>2023.0</v>
      </c>
      <c r="I217" s="29">
        <f t="shared" si="11"/>
        <v>2</v>
      </c>
      <c r="J217" s="36"/>
      <c r="K217" s="36">
        <f t="shared" si="5"/>
        <v>2</v>
      </c>
      <c r="L217" s="36">
        <f t="shared" si="6"/>
        <v>7</v>
      </c>
      <c r="M217" s="36">
        <f t="shared" si="7"/>
        <v>17</v>
      </c>
      <c r="N217" s="36">
        <f t="shared" si="8"/>
        <v>32</v>
      </c>
      <c r="O217" s="36">
        <f t="shared" si="9"/>
        <v>52</v>
      </c>
      <c r="P217" s="36">
        <f t="shared" si="10"/>
        <v>77</v>
      </c>
    </row>
    <row r="218" ht="15.75" customHeight="1">
      <c r="B218" s="28" t="s">
        <v>269</v>
      </c>
      <c r="C218" s="28" t="s">
        <v>55</v>
      </c>
      <c r="D218" s="58" t="s">
        <v>312</v>
      </c>
      <c r="E218" s="239">
        <f t="shared" si="12"/>
        <v>1</v>
      </c>
      <c r="F218" s="259">
        <v>1.0</v>
      </c>
      <c r="G218" s="247" t="s">
        <v>19</v>
      </c>
      <c r="H218" s="28">
        <v>2024.0</v>
      </c>
      <c r="I218" s="29">
        <f t="shared" si="11"/>
        <v>1</v>
      </c>
      <c r="J218" s="36">
        <v>17.0</v>
      </c>
      <c r="K218" s="36">
        <f t="shared" si="5"/>
        <v>1</v>
      </c>
      <c r="L218" s="36">
        <f t="shared" si="6"/>
        <v>6</v>
      </c>
      <c r="M218" s="36">
        <f t="shared" si="7"/>
        <v>16</v>
      </c>
      <c r="N218" s="36">
        <f t="shared" si="8"/>
        <v>31</v>
      </c>
      <c r="O218" s="36">
        <f t="shared" si="9"/>
        <v>51</v>
      </c>
      <c r="P218" s="36">
        <f t="shared" si="10"/>
        <v>76</v>
      </c>
    </row>
    <row r="219" ht="15.75" customHeight="1">
      <c r="B219" s="28" t="s">
        <v>269</v>
      </c>
      <c r="C219" s="29" t="s">
        <v>51</v>
      </c>
      <c r="D219" s="59" t="s">
        <v>816</v>
      </c>
      <c r="E219" s="239">
        <f t="shared" si="12"/>
        <v>7</v>
      </c>
      <c r="F219" s="250">
        <v>2.0</v>
      </c>
      <c r="G219" s="240" t="s">
        <v>765</v>
      </c>
      <c r="H219" s="29">
        <v>2023.0</v>
      </c>
      <c r="I219" s="29">
        <f t="shared" si="11"/>
        <v>2</v>
      </c>
      <c r="J219" s="36"/>
      <c r="K219" s="36">
        <f t="shared" si="5"/>
        <v>2</v>
      </c>
      <c r="L219" s="36">
        <f t="shared" si="6"/>
        <v>7</v>
      </c>
      <c r="M219" s="36">
        <f t="shared" si="7"/>
        <v>17</v>
      </c>
      <c r="N219" s="36">
        <f t="shared" si="8"/>
        <v>32</v>
      </c>
      <c r="O219" s="36">
        <f t="shared" si="9"/>
        <v>52</v>
      </c>
      <c r="P219" s="36">
        <f t="shared" si="10"/>
        <v>77</v>
      </c>
    </row>
    <row r="220" ht="15.75" customHeight="1">
      <c r="B220" s="28" t="s">
        <v>269</v>
      </c>
      <c r="C220" s="29" t="s">
        <v>51</v>
      </c>
      <c r="D220" s="59" t="s">
        <v>293</v>
      </c>
      <c r="E220" s="239">
        <f t="shared" si="12"/>
        <v>28</v>
      </c>
      <c r="F220" s="250">
        <v>13.0</v>
      </c>
      <c r="G220" s="240" t="s">
        <v>48</v>
      </c>
      <c r="H220" s="29">
        <v>2022.0</v>
      </c>
      <c r="I220" s="29">
        <f t="shared" si="11"/>
        <v>3</v>
      </c>
      <c r="J220" s="36">
        <v>64.0</v>
      </c>
      <c r="K220" s="36">
        <f t="shared" si="5"/>
        <v>13</v>
      </c>
      <c r="L220" s="36">
        <f t="shared" si="6"/>
        <v>18</v>
      </c>
      <c r="M220" s="36">
        <f t="shared" si="7"/>
        <v>28</v>
      </c>
      <c r="N220" s="36">
        <f t="shared" si="8"/>
        <v>43</v>
      </c>
      <c r="O220" s="36">
        <f t="shared" si="9"/>
        <v>63</v>
      </c>
      <c r="P220" s="36">
        <f t="shared" si="10"/>
        <v>88</v>
      </c>
    </row>
    <row r="221" ht="15.75" customHeight="1">
      <c r="B221" s="28" t="s">
        <v>269</v>
      </c>
      <c r="C221" s="29" t="s">
        <v>51</v>
      </c>
      <c r="D221" s="59" t="s">
        <v>349</v>
      </c>
      <c r="E221" s="239">
        <f t="shared" si="12"/>
        <v>16</v>
      </c>
      <c r="F221" s="250">
        <v>11.0</v>
      </c>
      <c r="G221" s="240" t="s">
        <v>48</v>
      </c>
      <c r="H221" s="29">
        <v>2023.0</v>
      </c>
      <c r="I221" s="29">
        <f t="shared" si="11"/>
        <v>2</v>
      </c>
      <c r="J221" s="36">
        <v>52.0</v>
      </c>
      <c r="K221" s="36">
        <f t="shared" si="5"/>
        <v>11</v>
      </c>
      <c r="L221" s="36">
        <f t="shared" si="6"/>
        <v>16</v>
      </c>
      <c r="M221" s="36">
        <f t="shared" si="7"/>
        <v>26</v>
      </c>
      <c r="N221" s="36">
        <f t="shared" si="8"/>
        <v>41</v>
      </c>
      <c r="O221" s="36">
        <f t="shared" si="9"/>
        <v>61</v>
      </c>
      <c r="P221" s="36">
        <f t="shared" si="10"/>
        <v>86</v>
      </c>
    </row>
    <row r="222" ht="15.75" customHeight="1">
      <c r="B222" s="28" t="s">
        <v>269</v>
      </c>
      <c r="C222" s="29" t="s">
        <v>51</v>
      </c>
      <c r="D222" s="59" t="s">
        <v>817</v>
      </c>
      <c r="E222" s="239">
        <f t="shared" si="12"/>
        <v>7</v>
      </c>
      <c r="F222" s="250">
        <v>2.0</v>
      </c>
      <c r="G222" s="240" t="s">
        <v>48</v>
      </c>
      <c r="H222" s="29">
        <v>2023.0</v>
      </c>
      <c r="I222" s="29">
        <f t="shared" si="11"/>
        <v>2</v>
      </c>
      <c r="J222" s="36">
        <v>6.0</v>
      </c>
      <c r="K222" s="36">
        <f t="shared" si="5"/>
        <v>2</v>
      </c>
      <c r="L222" s="36">
        <f t="shared" si="6"/>
        <v>7</v>
      </c>
      <c r="M222" s="36">
        <f t="shared" si="7"/>
        <v>17</v>
      </c>
      <c r="N222" s="36">
        <f t="shared" si="8"/>
        <v>32</v>
      </c>
      <c r="O222" s="36">
        <f t="shared" si="9"/>
        <v>52</v>
      </c>
      <c r="P222" s="36">
        <f t="shared" si="10"/>
        <v>77</v>
      </c>
    </row>
    <row r="223" ht="15.75" customHeight="1">
      <c r="B223" s="28" t="s">
        <v>269</v>
      </c>
      <c r="C223" s="29" t="s">
        <v>51</v>
      </c>
      <c r="D223" s="59" t="s">
        <v>818</v>
      </c>
      <c r="E223" s="239">
        <f t="shared" si="12"/>
        <v>7</v>
      </c>
      <c r="F223" s="258">
        <v>2.0</v>
      </c>
      <c r="G223" s="240" t="s">
        <v>765</v>
      </c>
      <c r="H223" s="29">
        <v>2023.0</v>
      </c>
      <c r="I223" s="29">
        <f t="shared" si="11"/>
        <v>2</v>
      </c>
      <c r="J223" s="36">
        <v>7.0</v>
      </c>
      <c r="K223" s="36">
        <f t="shared" si="5"/>
        <v>2</v>
      </c>
      <c r="L223" s="36">
        <f t="shared" si="6"/>
        <v>7</v>
      </c>
      <c r="M223" s="36">
        <f t="shared" si="7"/>
        <v>17</v>
      </c>
      <c r="N223" s="36">
        <f t="shared" si="8"/>
        <v>32</v>
      </c>
      <c r="O223" s="36">
        <f t="shared" si="9"/>
        <v>52</v>
      </c>
      <c r="P223" s="36">
        <f t="shared" si="10"/>
        <v>77</v>
      </c>
    </row>
    <row r="224" ht="15.75" customHeight="1">
      <c r="B224" s="28" t="s">
        <v>269</v>
      </c>
      <c r="C224" s="29" t="s">
        <v>60</v>
      </c>
      <c r="D224" s="59" t="s">
        <v>819</v>
      </c>
      <c r="E224" s="239">
        <f t="shared" si="12"/>
        <v>7</v>
      </c>
      <c r="F224" s="257">
        <v>2.0</v>
      </c>
      <c r="G224" s="240" t="s">
        <v>765</v>
      </c>
      <c r="H224" s="29">
        <v>2023.0</v>
      </c>
      <c r="I224" s="29">
        <f t="shared" si="11"/>
        <v>2</v>
      </c>
      <c r="J224" s="36">
        <v>31.0</v>
      </c>
      <c r="K224" s="36">
        <f t="shared" si="5"/>
        <v>2</v>
      </c>
      <c r="L224" s="36">
        <f t="shared" si="6"/>
        <v>7</v>
      </c>
      <c r="M224" s="36">
        <f t="shared" si="7"/>
        <v>17</v>
      </c>
      <c r="N224" s="36">
        <f t="shared" si="8"/>
        <v>32</v>
      </c>
      <c r="O224" s="36">
        <f t="shared" si="9"/>
        <v>52</v>
      </c>
      <c r="P224" s="36">
        <f t="shared" si="10"/>
        <v>77</v>
      </c>
    </row>
    <row r="225" ht="15.75" customHeight="1">
      <c r="B225" s="28" t="s">
        <v>269</v>
      </c>
      <c r="C225" s="29" t="s">
        <v>46</v>
      </c>
      <c r="D225" s="59" t="s">
        <v>820</v>
      </c>
      <c r="E225" s="239">
        <f t="shared" si="12"/>
        <v>7</v>
      </c>
      <c r="F225" s="258">
        <v>2.0</v>
      </c>
      <c r="G225" s="240" t="s">
        <v>765</v>
      </c>
      <c r="H225" s="29">
        <v>2023.0</v>
      </c>
      <c r="I225" s="29">
        <f t="shared" si="11"/>
        <v>2</v>
      </c>
      <c r="J225" s="36">
        <v>7.0</v>
      </c>
      <c r="K225" s="36">
        <f t="shared" si="5"/>
        <v>2</v>
      </c>
      <c r="L225" s="36">
        <f t="shared" si="6"/>
        <v>7</v>
      </c>
      <c r="M225" s="36">
        <f t="shared" si="7"/>
        <v>17</v>
      </c>
      <c r="N225" s="36">
        <f t="shared" si="8"/>
        <v>32</v>
      </c>
      <c r="O225" s="36">
        <f t="shared" si="9"/>
        <v>52</v>
      </c>
      <c r="P225" s="36">
        <f t="shared" si="10"/>
        <v>77</v>
      </c>
    </row>
    <row r="226" ht="15.75" customHeight="1">
      <c r="B226" s="28" t="s">
        <v>269</v>
      </c>
      <c r="C226" s="29" t="s">
        <v>46</v>
      </c>
      <c r="D226" s="59" t="s">
        <v>265</v>
      </c>
      <c r="E226" s="239">
        <f t="shared" si="12"/>
        <v>7</v>
      </c>
      <c r="F226" s="258">
        <v>2.0</v>
      </c>
      <c r="G226" s="240" t="s">
        <v>765</v>
      </c>
      <c r="H226" s="29">
        <v>2023.0</v>
      </c>
      <c r="I226" s="29">
        <f t="shared" si="11"/>
        <v>2</v>
      </c>
      <c r="J226" s="36">
        <v>75.0</v>
      </c>
      <c r="K226" s="36">
        <f t="shared" si="5"/>
        <v>2</v>
      </c>
      <c r="L226" s="36">
        <f t="shared" si="6"/>
        <v>7</v>
      </c>
      <c r="M226" s="36">
        <f t="shared" si="7"/>
        <v>17</v>
      </c>
      <c r="N226" s="36">
        <f t="shared" si="8"/>
        <v>32</v>
      </c>
      <c r="O226" s="36">
        <f t="shared" si="9"/>
        <v>52</v>
      </c>
      <c r="P226" s="36">
        <f t="shared" si="10"/>
        <v>77</v>
      </c>
    </row>
    <row r="227" ht="15.75" customHeight="1">
      <c r="B227" s="28" t="s">
        <v>269</v>
      </c>
      <c r="C227" s="29" t="s">
        <v>46</v>
      </c>
      <c r="D227" s="59" t="s">
        <v>177</v>
      </c>
      <c r="E227" s="239">
        <f t="shared" si="12"/>
        <v>7</v>
      </c>
      <c r="F227" s="258">
        <v>2.0</v>
      </c>
      <c r="G227" s="240" t="s">
        <v>765</v>
      </c>
      <c r="H227" s="29">
        <v>2023.0</v>
      </c>
      <c r="I227" s="29">
        <f t="shared" si="11"/>
        <v>2</v>
      </c>
      <c r="J227" s="36">
        <v>17.0</v>
      </c>
      <c r="K227" s="36">
        <f t="shared" si="5"/>
        <v>2</v>
      </c>
      <c r="L227" s="36">
        <f t="shared" si="6"/>
        <v>7</v>
      </c>
      <c r="M227" s="36">
        <f t="shared" si="7"/>
        <v>17</v>
      </c>
      <c r="N227" s="36">
        <f t="shared" si="8"/>
        <v>32</v>
      </c>
      <c r="O227" s="36">
        <f t="shared" si="9"/>
        <v>52</v>
      </c>
      <c r="P227" s="36">
        <f t="shared" si="10"/>
        <v>77</v>
      </c>
    </row>
    <row r="228" ht="15.75" customHeight="1">
      <c r="B228" s="28" t="s">
        <v>269</v>
      </c>
      <c r="C228" s="29" t="s">
        <v>46</v>
      </c>
      <c r="D228" s="59" t="s">
        <v>317</v>
      </c>
      <c r="E228" s="239">
        <f t="shared" si="12"/>
        <v>36</v>
      </c>
      <c r="F228" s="250">
        <v>21.0</v>
      </c>
      <c r="G228" s="240" t="s">
        <v>48</v>
      </c>
      <c r="H228" s="248">
        <v>2022.0</v>
      </c>
      <c r="I228" s="29">
        <f t="shared" si="11"/>
        <v>3</v>
      </c>
      <c r="J228" s="36">
        <v>7.0</v>
      </c>
      <c r="K228" s="36">
        <f t="shared" si="5"/>
        <v>21</v>
      </c>
      <c r="L228" s="36">
        <f t="shared" si="6"/>
        <v>26</v>
      </c>
      <c r="M228" s="36">
        <f t="shared" si="7"/>
        <v>36</v>
      </c>
      <c r="N228" s="36">
        <f t="shared" si="8"/>
        <v>51</v>
      </c>
      <c r="O228" s="36">
        <f t="shared" si="9"/>
        <v>71</v>
      </c>
      <c r="P228" s="36">
        <f t="shared" si="10"/>
        <v>96</v>
      </c>
    </row>
    <row r="229" ht="15.75" customHeight="1">
      <c r="B229" s="28" t="s">
        <v>269</v>
      </c>
      <c r="C229" s="29" t="s">
        <v>46</v>
      </c>
      <c r="D229" s="59" t="s">
        <v>47</v>
      </c>
      <c r="E229" s="239">
        <f t="shared" si="12"/>
        <v>67</v>
      </c>
      <c r="F229" s="250">
        <v>17.0</v>
      </c>
      <c r="G229" s="240" t="s">
        <v>48</v>
      </c>
      <c r="H229" s="29">
        <v>2020.0</v>
      </c>
      <c r="I229" s="29">
        <f t="shared" si="11"/>
        <v>5</v>
      </c>
      <c r="J229" s="36">
        <v>6.0</v>
      </c>
      <c r="K229" s="36">
        <f t="shared" si="5"/>
        <v>17</v>
      </c>
      <c r="L229" s="36">
        <f t="shared" si="6"/>
        <v>22</v>
      </c>
      <c r="M229" s="36">
        <f t="shared" si="7"/>
        <v>32</v>
      </c>
      <c r="N229" s="36">
        <f t="shared" si="8"/>
        <v>47</v>
      </c>
      <c r="O229" s="36">
        <f t="shared" si="9"/>
        <v>67</v>
      </c>
      <c r="P229" s="36">
        <f t="shared" si="10"/>
        <v>92</v>
      </c>
    </row>
    <row r="230" ht="15.75" customHeight="1">
      <c r="B230" s="28" t="s">
        <v>269</v>
      </c>
      <c r="C230" s="29" t="s">
        <v>46</v>
      </c>
      <c r="D230" s="59" t="s">
        <v>356</v>
      </c>
      <c r="E230" s="239">
        <f t="shared" si="12"/>
        <v>46</v>
      </c>
      <c r="F230" s="250">
        <v>31.0</v>
      </c>
      <c r="G230" s="240" t="s">
        <v>48</v>
      </c>
      <c r="H230" s="29">
        <v>2022.0</v>
      </c>
      <c r="I230" s="29">
        <f t="shared" si="11"/>
        <v>3</v>
      </c>
      <c r="J230" s="36">
        <v>6.0</v>
      </c>
      <c r="K230" s="36">
        <f t="shared" si="5"/>
        <v>31</v>
      </c>
      <c r="L230" s="36">
        <f t="shared" si="6"/>
        <v>36</v>
      </c>
      <c r="M230" s="36">
        <f t="shared" si="7"/>
        <v>46</v>
      </c>
      <c r="N230" s="36">
        <f t="shared" si="8"/>
        <v>61</v>
      </c>
      <c r="O230" s="36">
        <f t="shared" si="9"/>
        <v>81</v>
      </c>
      <c r="P230" s="36">
        <f t="shared" si="10"/>
        <v>106</v>
      </c>
    </row>
    <row r="231" ht="15.75" customHeight="1">
      <c r="B231" s="28" t="s">
        <v>269</v>
      </c>
      <c r="C231" s="29" t="s">
        <v>46</v>
      </c>
      <c r="D231" s="59" t="s">
        <v>821</v>
      </c>
      <c r="E231" s="239">
        <f t="shared" si="12"/>
        <v>7</v>
      </c>
      <c r="F231" s="253">
        <v>2.0</v>
      </c>
      <c r="G231" s="247" t="s">
        <v>765</v>
      </c>
      <c r="H231" s="251">
        <v>2023.0</v>
      </c>
      <c r="I231" s="29">
        <f t="shared" si="11"/>
        <v>2</v>
      </c>
      <c r="J231" s="36">
        <v>51.0</v>
      </c>
      <c r="K231" s="36">
        <f t="shared" si="5"/>
        <v>2</v>
      </c>
      <c r="L231" s="36">
        <f t="shared" si="6"/>
        <v>7</v>
      </c>
      <c r="M231" s="36">
        <f t="shared" si="7"/>
        <v>17</v>
      </c>
      <c r="N231" s="36">
        <f t="shared" si="8"/>
        <v>32</v>
      </c>
      <c r="O231" s="36">
        <f t="shared" si="9"/>
        <v>52</v>
      </c>
      <c r="P231" s="36">
        <f t="shared" si="10"/>
        <v>77</v>
      </c>
    </row>
    <row r="232" ht="15.75" customHeight="1">
      <c r="B232" s="28" t="s">
        <v>269</v>
      </c>
      <c r="C232" s="29" t="s">
        <v>51</v>
      </c>
      <c r="D232" s="59" t="s">
        <v>294</v>
      </c>
      <c r="E232" s="239">
        <f t="shared" si="12"/>
        <v>24</v>
      </c>
      <c r="F232" s="250">
        <v>19.0</v>
      </c>
      <c r="G232" s="240" t="s">
        <v>48</v>
      </c>
      <c r="H232" s="248">
        <v>2023.0</v>
      </c>
      <c r="I232" s="29">
        <f t="shared" si="11"/>
        <v>2</v>
      </c>
      <c r="J232" s="36"/>
      <c r="K232" s="36">
        <f t="shared" si="5"/>
        <v>19</v>
      </c>
      <c r="L232" s="36">
        <f t="shared" si="6"/>
        <v>24</v>
      </c>
      <c r="M232" s="36">
        <f t="shared" si="7"/>
        <v>34</v>
      </c>
      <c r="N232" s="36">
        <f t="shared" si="8"/>
        <v>49</v>
      </c>
      <c r="O232" s="36">
        <f t="shared" si="9"/>
        <v>69</v>
      </c>
      <c r="P232" s="36">
        <f t="shared" si="10"/>
        <v>94</v>
      </c>
    </row>
    <row r="233" ht="15.75" customHeight="1">
      <c r="B233" s="28" t="s">
        <v>269</v>
      </c>
      <c r="C233" s="29" t="s">
        <v>46</v>
      </c>
      <c r="D233" s="59" t="s">
        <v>279</v>
      </c>
      <c r="E233" s="239">
        <f t="shared" si="12"/>
        <v>54</v>
      </c>
      <c r="F233" s="257">
        <v>39.0</v>
      </c>
      <c r="G233" s="240" t="s">
        <v>48</v>
      </c>
      <c r="H233" s="248">
        <v>2022.0</v>
      </c>
      <c r="I233" s="29">
        <f t="shared" si="11"/>
        <v>3</v>
      </c>
      <c r="J233" s="36"/>
      <c r="K233" s="36">
        <f t="shared" si="5"/>
        <v>39</v>
      </c>
      <c r="L233" s="36">
        <f t="shared" si="6"/>
        <v>44</v>
      </c>
      <c r="M233" s="36">
        <f t="shared" si="7"/>
        <v>54</v>
      </c>
      <c r="N233" s="36">
        <f t="shared" si="8"/>
        <v>69</v>
      </c>
      <c r="O233" s="36">
        <f t="shared" si="9"/>
        <v>89</v>
      </c>
      <c r="P233" s="36">
        <f t="shared" si="10"/>
        <v>114</v>
      </c>
    </row>
    <row r="234" ht="15.75" customHeight="1">
      <c r="B234" s="28" t="s">
        <v>297</v>
      </c>
      <c r="C234" s="29" t="s">
        <v>60</v>
      </c>
      <c r="D234" s="59" t="s">
        <v>756</v>
      </c>
      <c r="E234" s="239">
        <f t="shared" si="12"/>
        <v>7</v>
      </c>
      <c r="F234" s="250">
        <v>2.0</v>
      </c>
      <c r="G234" s="240" t="s">
        <v>765</v>
      </c>
      <c r="H234" s="248">
        <v>2023.0</v>
      </c>
      <c r="I234" s="29">
        <f t="shared" si="11"/>
        <v>2</v>
      </c>
      <c r="J234" s="36"/>
      <c r="K234" s="36">
        <f t="shared" si="5"/>
        <v>2</v>
      </c>
      <c r="L234" s="36">
        <f t="shared" si="6"/>
        <v>7</v>
      </c>
      <c r="M234" s="36">
        <f t="shared" si="7"/>
        <v>17</v>
      </c>
      <c r="N234" s="36">
        <f t="shared" si="8"/>
        <v>32</v>
      </c>
      <c r="O234" s="36">
        <f t="shared" si="9"/>
        <v>52</v>
      </c>
      <c r="P234" s="36">
        <f t="shared" si="10"/>
        <v>77</v>
      </c>
    </row>
    <row r="235" ht="15.75" customHeight="1">
      <c r="B235" s="28" t="s">
        <v>297</v>
      </c>
      <c r="C235" s="29" t="s">
        <v>51</v>
      </c>
      <c r="D235" s="59" t="s">
        <v>736</v>
      </c>
      <c r="E235" s="239">
        <f t="shared" si="12"/>
        <v>7</v>
      </c>
      <c r="F235" s="250">
        <v>2.0</v>
      </c>
      <c r="G235" s="240" t="s">
        <v>765</v>
      </c>
      <c r="H235" s="248">
        <v>2023.0</v>
      </c>
      <c r="I235" s="29">
        <f t="shared" si="11"/>
        <v>2</v>
      </c>
      <c r="J235" s="36">
        <v>7.0</v>
      </c>
      <c r="K235" s="36">
        <f t="shared" si="5"/>
        <v>2</v>
      </c>
      <c r="L235" s="36">
        <f t="shared" si="6"/>
        <v>7</v>
      </c>
      <c r="M235" s="36">
        <f t="shared" si="7"/>
        <v>17</v>
      </c>
      <c r="N235" s="36">
        <f t="shared" si="8"/>
        <v>32</v>
      </c>
      <c r="O235" s="36">
        <f t="shared" si="9"/>
        <v>52</v>
      </c>
      <c r="P235" s="36">
        <f t="shared" si="10"/>
        <v>77</v>
      </c>
    </row>
    <row r="236" ht="15.75" customHeight="1">
      <c r="B236" s="29" t="s">
        <v>297</v>
      </c>
      <c r="C236" s="29" t="s">
        <v>760</v>
      </c>
      <c r="D236" s="59" t="s">
        <v>760</v>
      </c>
      <c r="E236" s="239">
        <f t="shared" si="12"/>
        <v>6</v>
      </c>
      <c r="F236" s="250"/>
      <c r="G236" s="240" t="s">
        <v>48</v>
      </c>
      <c r="H236" s="29">
        <v>2023.0</v>
      </c>
      <c r="I236" s="29">
        <f t="shared" si="11"/>
        <v>2</v>
      </c>
      <c r="J236" s="36"/>
      <c r="K236" s="36">
        <f t="shared" si="5"/>
        <v>1</v>
      </c>
      <c r="L236" s="36">
        <f t="shared" si="6"/>
        <v>6</v>
      </c>
      <c r="M236" s="36">
        <f t="shared" si="7"/>
        <v>16</v>
      </c>
      <c r="N236" s="36">
        <f t="shared" si="8"/>
        <v>31</v>
      </c>
      <c r="O236" s="36">
        <f t="shared" si="9"/>
        <v>51</v>
      </c>
      <c r="P236" s="36">
        <f t="shared" si="10"/>
        <v>76</v>
      </c>
    </row>
    <row r="237" ht="15.75" customHeight="1">
      <c r="B237" s="29" t="s">
        <v>297</v>
      </c>
      <c r="C237" s="50" t="s">
        <v>55</v>
      </c>
      <c r="D237" s="59" t="s">
        <v>226</v>
      </c>
      <c r="E237" s="239">
        <f t="shared" si="12"/>
        <v>40</v>
      </c>
      <c r="F237" s="250">
        <v>10.0</v>
      </c>
      <c r="G237" s="240" t="s">
        <v>48</v>
      </c>
      <c r="H237" s="29">
        <v>2021.0</v>
      </c>
      <c r="I237" s="29">
        <f t="shared" si="11"/>
        <v>4</v>
      </c>
      <c r="J237" s="36"/>
      <c r="K237" s="36">
        <f t="shared" si="5"/>
        <v>10</v>
      </c>
      <c r="L237" s="36">
        <f t="shared" si="6"/>
        <v>15</v>
      </c>
      <c r="M237" s="36">
        <f t="shared" si="7"/>
        <v>25</v>
      </c>
      <c r="N237" s="36">
        <f t="shared" si="8"/>
        <v>40</v>
      </c>
      <c r="O237" s="36">
        <f t="shared" si="9"/>
        <v>60</v>
      </c>
      <c r="P237" s="36">
        <f t="shared" si="10"/>
        <v>85</v>
      </c>
    </row>
    <row r="238" ht="15.75" customHeight="1">
      <c r="B238" s="29" t="s">
        <v>297</v>
      </c>
      <c r="C238" s="29" t="s">
        <v>55</v>
      </c>
      <c r="D238" s="59" t="s">
        <v>822</v>
      </c>
      <c r="E238" s="239">
        <f t="shared" si="12"/>
        <v>8</v>
      </c>
      <c r="F238" s="250">
        <v>3.0</v>
      </c>
      <c r="G238" s="240" t="s">
        <v>48</v>
      </c>
      <c r="H238" s="248">
        <v>2023.0</v>
      </c>
      <c r="I238" s="29">
        <f t="shared" si="11"/>
        <v>2</v>
      </c>
      <c r="J238" s="36"/>
      <c r="K238" s="36">
        <f t="shared" si="5"/>
        <v>3</v>
      </c>
      <c r="L238" s="36">
        <f t="shared" si="6"/>
        <v>8</v>
      </c>
      <c r="M238" s="36">
        <f t="shared" si="7"/>
        <v>18</v>
      </c>
      <c r="N238" s="36">
        <f t="shared" si="8"/>
        <v>33</v>
      </c>
      <c r="O238" s="36">
        <f t="shared" si="9"/>
        <v>53</v>
      </c>
      <c r="P238" s="36">
        <f t="shared" si="10"/>
        <v>78</v>
      </c>
    </row>
    <row r="239" ht="15.75" customHeight="1">
      <c r="B239" s="29" t="s">
        <v>297</v>
      </c>
      <c r="C239" s="29" t="s">
        <v>55</v>
      </c>
      <c r="D239" s="59" t="s">
        <v>250</v>
      </c>
      <c r="E239" s="239">
        <f t="shared" si="12"/>
        <v>7</v>
      </c>
      <c r="F239" s="257">
        <v>2.0</v>
      </c>
      <c r="G239" s="240" t="s">
        <v>765</v>
      </c>
      <c r="H239" s="248">
        <v>2023.0</v>
      </c>
      <c r="I239" s="29">
        <f t="shared" si="11"/>
        <v>2</v>
      </c>
      <c r="J239" s="36"/>
      <c r="K239" s="36">
        <f t="shared" si="5"/>
        <v>2</v>
      </c>
      <c r="L239" s="36">
        <f t="shared" si="6"/>
        <v>7</v>
      </c>
      <c r="M239" s="36">
        <f t="shared" si="7"/>
        <v>17</v>
      </c>
      <c r="N239" s="36">
        <f t="shared" si="8"/>
        <v>32</v>
      </c>
      <c r="O239" s="36">
        <f t="shared" si="9"/>
        <v>52</v>
      </c>
      <c r="P239" s="36">
        <f t="shared" si="10"/>
        <v>77</v>
      </c>
    </row>
    <row r="240" ht="15.75" customHeight="1">
      <c r="B240" s="29" t="s">
        <v>297</v>
      </c>
      <c r="C240" s="50" t="s">
        <v>55</v>
      </c>
      <c r="D240" s="59" t="s">
        <v>823</v>
      </c>
      <c r="E240" s="239">
        <f t="shared" si="12"/>
        <v>7</v>
      </c>
      <c r="F240" s="250">
        <v>2.0</v>
      </c>
      <c r="G240" s="240" t="s">
        <v>765</v>
      </c>
      <c r="H240" s="29">
        <v>2023.0</v>
      </c>
      <c r="I240" s="29">
        <f t="shared" si="11"/>
        <v>2</v>
      </c>
      <c r="J240" s="36"/>
      <c r="K240" s="36">
        <f t="shared" si="5"/>
        <v>2</v>
      </c>
      <c r="L240" s="36">
        <f t="shared" si="6"/>
        <v>7</v>
      </c>
      <c r="M240" s="36">
        <f t="shared" si="7"/>
        <v>17</v>
      </c>
      <c r="N240" s="36">
        <f t="shared" si="8"/>
        <v>32</v>
      </c>
      <c r="O240" s="36">
        <f t="shared" si="9"/>
        <v>52</v>
      </c>
      <c r="P240" s="36">
        <f t="shared" si="10"/>
        <v>77</v>
      </c>
    </row>
    <row r="241" ht="15.75" customHeight="1">
      <c r="B241" s="29" t="s">
        <v>297</v>
      </c>
      <c r="C241" s="50" t="s">
        <v>51</v>
      </c>
      <c r="D241" s="59" t="s">
        <v>307</v>
      </c>
      <c r="E241" s="239">
        <f t="shared" si="12"/>
        <v>33</v>
      </c>
      <c r="F241" s="257">
        <v>28.0</v>
      </c>
      <c r="G241" s="240" t="s">
        <v>48</v>
      </c>
      <c r="H241" s="29">
        <v>2023.0</v>
      </c>
      <c r="I241" s="29">
        <f t="shared" si="11"/>
        <v>2</v>
      </c>
      <c r="J241" s="36"/>
      <c r="K241" s="36">
        <f t="shared" si="5"/>
        <v>28</v>
      </c>
      <c r="L241" s="36">
        <f t="shared" si="6"/>
        <v>33</v>
      </c>
      <c r="M241" s="36">
        <f t="shared" si="7"/>
        <v>43</v>
      </c>
      <c r="N241" s="36">
        <f t="shared" si="8"/>
        <v>58</v>
      </c>
      <c r="O241" s="36">
        <f t="shared" si="9"/>
        <v>78</v>
      </c>
      <c r="P241" s="36">
        <f t="shared" si="10"/>
        <v>103</v>
      </c>
    </row>
    <row r="242" ht="15.75" customHeight="1">
      <c r="B242" s="29" t="s">
        <v>297</v>
      </c>
      <c r="C242" s="29" t="s">
        <v>51</v>
      </c>
      <c r="D242" s="59" t="s">
        <v>398</v>
      </c>
      <c r="E242" s="239">
        <f t="shared" si="12"/>
        <v>6</v>
      </c>
      <c r="F242" s="257">
        <v>1.0</v>
      </c>
      <c r="G242" s="240" t="s">
        <v>48</v>
      </c>
      <c r="H242" s="29">
        <v>2023.0</v>
      </c>
      <c r="I242" s="29">
        <f t="shared" si="11"/>
        <v>2</v>
      </c>
      <c r="J242" s="36"/>
      <c r="K242" s="36">
        <f t="shared" si="5"/>
        <v>1</v>
      </c>
      <c r="L242" s="36">
        <f t="shared" si="6"/>
        <v>6</v>
      </c>
      <c r="M242" s="36">
        <f t="shared" si="7"/>
        <v>16</v>
      </c>
      <c r="N242" s="36">
        <f t="shared" si="8"/>
        <v>31</v>
      </c>
      <c r="O242" s="36">
        <f t="shared" si="9"/>
        <v>51</v>
      </c>
      <c r="P242" s="36">
        <f t="shared" si="10"/>
        <v>76</v>
      </c>
    </row>
    <row r="243" ht="15.75" customHeight="1">
      <c r="B243" s="29" t="s">
        <v>297</v>
      </c>
      <c r="C243" s="29" t="s">
        <v>51</v>
      </c>
      <c r="D243" s="59" t="s">
        <v>824</v>
      </c>
      <c r="E243" s="239">
        <f t="shared" si="12"/>
        <v>16</v>
      </c>
      <c r="F243" s="257">
        <v>1.0</v>
      </c>
      <c r="G243" s="240" t="s">
        <v>48</v>
      </c>
      <c r="H243" s="29">
        <v>2022.0</v>
      </c>
      <c r="I243" s="29">
        <f t="shared" si="11"/>
        <v>3</v>
      </c>
      <c r="J243" s="36"/>
      <c r="K243" s="36">
        <f t="shared" si="5"/>
        <v>1</v>
      </c>
      <c r="L243" s="36">
        <f t="shared" si="6"/>
        <v>6</v>
      </c>
      <c r="M243" s="36">
        <f t="shared" si="7"/>
        <v>16</v>
      </c>
      <c r="N243" s="36">
        <f t="shared" si="8"/>
        <v>31</v>
      </c>
      <c r="O243" s="36">
        <f t="shared" si="9"/>
        <v>51</v>
      </c>
      <c r="P243" s="36">
        <f t="shared" si="10"/>
        <v>76</v>
      </c>
    </row>
    <row r="244" ht="15.75" customHeight="1">
      <c r="B244" s="29" t="s">
        <v>297</v>
      </c>
      <c r="C244" s="29" t="s">
        <v>60</v>
      </c>
      <c r="D244" s="59" t="s">
        <v>87</v>
      </c>
      <c r="E244" s="239">
        <f t="shared" si="12"/>
        <v>60</v>
      </c>
      <c r="F244" s="250">
        <v>45.0</v>
      </c>
      <c r="G244" s="240" t="s">
        <v>48</v>
      </c>
      <c r="H244" s="29">
        <v>2022.0</v>
      </c>
      <c r="I244" s="29">
        <f t="shared" si="11"/>
        <v>3</v>
      </c>
      <c r="J244" s="36"/>
      <c r="K244" s="36">
        <f t="shared" si="5"/>
        <v>45</v>
      </c>
      <c r="L244" s="36">
        <f t="shared" si="6"/>
        <v>50</v>
      </c>
      <c r="M244" s="36">
        <f t="shared" si="7"/>
        <v>60</v>
      </c>
      <c r="N244" s="36">
        <f t="shared" si="8"/>
        <v>75</v>
      </c>
      <c r="O244" s="36">
        <f t="shared" si="9"/>
        <v>95</v>
      </c>
      <c r="P244" s="36">
        <f t="shared" si="10"/>
        <v>120</v>
      </c>
    </row>
    <row r="245" ht="15.75" customHeight="1">
      <c r="B245" s="29" t="s">
        <v>297</v>
      </c>
      <c r="C245" s="29" t="s">
        <v>60</v>
      </c>
      <c r="D245" s="59" t="s">
        <v>299</v>
      </c>
      <c r="E245" s="239">
        <f t="shared" si="12"/>
        <v>7</v>
      </c>
      <c r="F245" s="250">
        <v>2.0</v>
      </c>
      <c r="G245" s="240" t="s">
        <v>48</v>
      </c>
      <c r="H245" s="29">
        <v>2023.0</v>
      </c>
      <c r="I245" s="29">
        <f t="shared" si="11"/>
        <v>2</v>
      </c>
      <c r="J245" s="36"/>
      <c r="K245" s="36">
        <f t="shared" si="5"/>
        <v>2</v>
      </c>
      <c r="L245" s="36">
        <f t="shared" si="6"/>
        <v>7</v>
      </c>
      <c r="M245" s="36">
        <f t="shared" si="7"/>
        <v>17</v>
      </c>
      <c r="N245" s="36">
        <f t="shared" si="8"/>
        <v>32</v>
      </c>
      <c r="O245" s="36">
        <f t="shared" si="9"/>
        <v>52</v>
      </c>
      <c r="P245" s="36">
        <f t="shared" si="10"/>
        <v>77</v>
      </c>
    </row>
    <row r="246" ht="15.75" customHeight="1">
      <c r="B246" s="29" t="s">
        <v>297</v>
      </c>
      <c r="C246" s="29" t="s">
        <v>46</v>
      </c>
      <c r="D246" s="59" t="s">
        <v>231</v>
      </c>
      <c r="E246" s="239">
        <f t="shared" si="12"/>
        <v>52</v>
      </c>
      <c r="F246" s="250">
        <v>2.0</v>
      </c>
      <c r="G246" s="240" t="s">
        <v>48</v>
      </c>
      <c r="H246" s="29">
        <v>2020.0</v>
      </c>
      <c r="I246" s="29">
        <f t="shared" si="11"/>
        <v>5</v>
      </c>
      <c r="J246" s="36"/>
      <c r="K246" s="36">
        <f t="shared" si="5"/>
        <v>2</v>
      </c>
      <c r="L246" s="36">
        <f t="shared" si="6"/>
        <v>7</v>
      </c>
      <c r="M246" s="36">
        <f t="shared" si="7"/>
        <v>17</v>
      </c>
      <c r="N246" s="36">
        <f t="shared" si="8"/>
        <v>32</v>
      </c>
      <c r="O246" s="36">
        <f t="shared" si="9"/>
        <v>52</v>
      </c>
      <c r="P246" s="36">
        <f t="shared" si="10"/>
        <v>77</v>
      </c>
    </row>
    <row r="247" ht="15.75" customHeight="1">
      <c r="B247" s="29" t="s">
        <v>297</v>
      </c>
      <c r="C247" s="29" t="s">
        <v>46</v>
      </c>
      <c r="D247" s="59" t="s">
        <v>351</v>
      </c>
      <c r="E247" s="239">
        <f t="shared" si="12"/>
        <v>52</v>
      </c>
      <c r="F247" s="250">
        <v>22.0</v>
      </c>
      <c r="G247" s="240" t="s">
        <v>48</v>
      </c>
      <c r="H247" s="29">
        <v>2021.0</v>
      </c>
      <c r="I247" s="29">
        <f t="shared" si="11"/>
        <v>4</v>
      </c>
      <c r="J247" s="36"/>
      <c r="K247" s="36">
        <f t="shared" si="5"/>
        <v>22</v>
      </c>
      <c r="L247" s="36">
        <f t="shared" si="6"/>
        <v>27</v>
      </c>
      <c r="M247" s="36">
        <f t="shared" si="7"/>
        <v>37</v>
      </c>
      <c r="N247" s="36">
        <f t="shared" si="8"/>
        <v>52</v>
      </c>
      <c r="O247" s="36">
        <f t="shared" si="9"/>
        <v>72</v>
      </c>
      <c r="P247" s="36">
        <f t="shared" si="10"/>
        <v>97</v>
      </c>
    </row>
    <row r="248" ht="15.75" customHeight="1">
      <c r="B248" s="29" t="s">
        <v>297</v>
      </c>
      <c r="C248" s="29" t="s">
        <v>46</v>
      </c>
      <c r="D248" s="59" t="s">
        <v>164</v>
      </c>
      <c r="E248" s="239">
        <f t="shared" si="12"/>
        <v>6</v>
      </c>
      <c r="F248" s="250">
        <v>1.0</v>
      </c>
      <c r="G248" s="240" t="s">
        <v>48</v>
      </c>
      <c r="H248" s="29">
        <v>2023.0</v>
      </c>
      <c r="I248" s="29">
        <f t="shared" si="11"/>
        <v>2</v>
      </c>
      <c r="J248" s="36"/>
      <c r="K248" s="36">
        <f t="shared" si="5"/>
        <v>1</v>
      </c>
      <c r="L248" s="36">
        <f t="shared" si="6"/>
        <v>6</v>
      </c>
      <c r="M248" s="36">
        <f t="shared" si="7"/>
        <v>16</v>
      </c>
      <c r="N248" s="36">
        <f t="shared" si="8"/>
        <v>31</v>
      </c>
      <c r="O248" s="36">
        <f t="shared" si="9"/>
        <v>51</v>
      </c>
      <c r="P248" s="36">
        <f t="shared" si="10"/>
        <v>76</v>
      </c>
    </row>
    <row r="249" ht="15.75" customHeight="1">
      <c r="B249" s="29" t="s">
        <v>297</v>
      </c>
      <c r="C249" s="29" t="s">
        <v>46</v>
      </c>
      <c r="D249" s="59" t="s">
        <v>296</v>
      </c>
      <c r="E249" s="239">
        <f t="shared" si="12"/>
        <v>7</v>
      </c>
      <c r="F249" s="250">
        <v>2.0</v>
      </c>
      <c r="G249" s="240" t="s">
        <v>765</v>
      </c>
      <c r="H249" s="29">
        <v>2023.0</v>
      </c>
      <c r="I249" s="29">
        <f t="shared" si="11"/>
        <v>2</v>
      </c>
      <c r="J249" s="36"/>
      <c r="K249" s="36">
        <f t="shared" si="5"/>
        <v>2</v>
      </c>
      <c r="L249" s="36">
        <f t="shared" si="6"/>
        <v>7</v>
      </c>
      <c r="M249" s="36">
        <f t="shared" si="7"/>
        <v>17</v>
      </c>
      <c r="N249" s="36">
        <f t="shared" si="8"/>
        <v>32</v>
      </c>
      <c r="O249" s="36">
        <f t="shared" si="9"/>
        <v>52</v>
      </c>
      <c r="P249" s="36">
        <f t="shared" si="10"/>
        <v>77</v>
      </c>
    </row>
    <row r="250" ht="15.75" customHeight="1">
      <c r="B250" s="29" t="s">
        <v>297</v>
      </c>
      <c r="C250" s="29" t="s">
        <v>46</v>
      </c>
      <c r="D250" s="262" t="s">
        <v>825</v>
      </c>
      <c r="E250" s="239">
        <f t="shared" si="12"/>
        <v>7</v>
      </c>
      <c r="F250" s="240">
        <v>2.0</v>
      </c>
      <c r="G250" s="263" t="s">
        <v>48</v>
      </c>
      <c r="H250" s="29">
        <v>2023.0</v>
      </c>
      <c r="I250" s="29">
        <f t="shared" si="11"/>
        <v>2</v>
      </c>
      <c r="J250" s="36"/>
      <c r="K250" s="36">
        <f t="shared" si="5"/>
        <v>2</v>
      </c>
      <c r="L250" s="36">
        <f t="shared" si="6"/>
        <v>7</v>
      </c>
      <c r="M250" s="36">
        <f t="shared" si="7"/>
        <v>17</v>
      </c>
      <c r="N250" s="36">
        <f t="shared" si="8"/>
        <v>32</v>
      </c>
      <c r="O250" s="36">
        <f t="shared" si="9"/>
        <v>52</v>
      </c>
      <c r="P250" s="36">
        <f t="shared" si="10"/>
        <v>77</v>
      </c>
    </row>
    <row r="251" ht="15.75" customHeight="1">
      <c r="B251" s="29" t="s">
        <v>297</v>
      </c>
      <c r="C251" s="50" t="s">
        <v>46</v>
      </c>
      <c r="D251" s="59" t="s">
        <v>238</v>
      </c>
      <c r="E251" s="239">
        <f t="shared" si="12"/>
        <v>7</v>
      </c>
      <c r="F251" s="256">
        <v>2.0</v>
      </c>
      <c r="G251" s="240" t="s">
        <v>765</v>
      </c>
      <c r="H251" s="248">
        <v>2023.0</v>
      </c>
      <c r="I251" s="29">
        <f t="shared" si="11"/>
        <v>2</v>
      </c>
      <c r="J251" s="36"/>
      <c r="K251" s="36">
        <f t="shared" si="5"/>
        <v>2</v>
      </c>
      <c r="L251" s="36">
        <f t="shared" si="6"/>
        <v>7</v>
      </c>
      <c r="M251" s="36">
        <f t="shared" si="7"/>
        <v>17</v>
      </c>
      <c r="N251" s="36">
        <f t="shared" si="8"/>
        <v>32</v>
      </c>
      <c r="O251" s="36">
        <f t="shared" si="9"/>
        <v>52</v>
      </c>
      <c r="P251" s="36">
        <f t="shared" si="10"/>
        <v>77</v>
      </c>
    </row>
    <row r="252" ht="15.75" customHeight="1">
      <c r="B252" s="29" t="s">
        <v>341</v>
      </c>
      <c r="C252" s="29" t="s">
        <v>760</v>
      </c>
      <c r="D252" s="59" t="s">
        <v>760</v>
      </c>
      <c r="E252" s="239">
        <f t="shared" si="12"/>
        <v>6</v>
      </c>
      <c r="F252" s="250"/>
      <c r="G252" s="240" t="s">
        <v>48</v>
      </c>
      <c r="H252" s="248">
        <v>2023.0</v>
      </c>
      <c r="I252" s="29">
        <f t="shared" si="11"/>
        <v>2</v>
      </c>
      <c r="J252" s="36"/>
      <c r="K252" s="36">
        <f t="shared" si="5"/>
        <v>1</v>
      </c>
      <c r="L252" s="36">
        <f t="shared" si="6"/>
        <v>6</v>
      </c>
      <c r="M252" s="36">
        <f t="shared" si="7"/>
        <v>16</v>
      </c>
      <c r="N252" s="36">
        <f t="shared" si="8"/>
        <v>31</v>
      </c>
      <c r="O252" s="36">
        <f t="shared" si="9"/>
        <v>51</v>
      </c>
      <c r="P252" s="36">
        <f t="shared" si="10"/>
        <v>76</v>
      </c>
    </row>
    <row r="253" ht="15.75" customHeight="1">
      <c r="B253" s="29" t="s">
        <v>341</v>
      </c>
      <c r="C253" s="50" t="s">
        <v>55</v>
      </c>
      <c r="D253" s="59" t="s">
        <v>62</v>
      </c>
      <c r="E253" s="239">
        <f t="shared" si="12"/>
        <v>14</v>
      </c>
      <c r="F253" s="250">
        <v>9.0</v>
      </c>
      <c r="G253" s="240" t="s">
        <v>48</v>
      </c>
      <c r="H253" s="248">
        <v>2023.0</v>
      </c>
      <c r="I253" s="29">
        <f t="shared" si="11"/>
        <v>2</v>
      </c>
      <c r="J253" s="36"/>
      <c r="K253" s="36">
        <f t="shared" si="5"/>
        <v>9</v>
      </c>
      <c r="L253" s="36">
        <f t="shared" si="6"/>
        <v>14</v>
      </c>
      <c r="M253" s="36">
        <f t="shared" si="7"/>
        <v>24</v>
      </c>
      <c r="N253" s="36">
        <f t="shared" si="8"/>
        <v>39</v>
      </c>
      <c r="O253" s="36">
        <f t="shared" si="9"/>
        <v>59</v>
      </c>
      <c r="P253" s="36">
        <f t="shared" si="10"/>
        <v>84</v>
      </c>
    </row>
    <row r="254" ht="15.75" customHeight="1">
      <c r="B254" s="29" t="s">
        <v>341</v>
      </c>
      <c r="C254" s="29" t="s">
        <v>55</v>
      </c>
      <c r="D254" s="59" t="s">
        <v>214</v>
      </c>
      <c r="E254" s="239">
        <f t="shared" si="12"/>
        <v>16</v>
      </c>
      <c r="F254" s="250">
        <v>1.0</v>
      </c>
      <c r="G254" s="240" t="s">
        <v>48</v>
      </c>
      <c r="H254" s="29">
        <v>2022.0</v>
      </c>
      <c r="I254" s="29">
        <f t="shared" si="11"/>
        <v>3</v>
      </c>
      <c r="J254" s="36"/>
      <c r="K254" s="36">
        <f t="shared" si="5"/>
        <v>1</v>
      </c>
      <c r="L254" s="36">
        <f t="shared" si="6"/>
        <v>6</v>
      </c>
      <c r="M254" s="36">
        <f t="shared" si="7"/>
        <v>16</v>
      </c>
      <c r="N254" s="36">
        <f t="shared" si="8"/>
        <v>31</v>
      </c>
      <c r="O254" s="36">
        <f t="shared" si="9"/>
        <v>51</v>
      </c>
      <c r="P254" s="36">
        <f t="shared" si="10"/>
        <v>76</v>
      </c>
    </row>
    <row r="255" ht="15.75" customHeight="1">
      <c r="B255" s="29" t="s">
        <v>341</v>
      </c>
      <c r="C255" s="29" t="s">
        <v>55</v>
      </c>
      <c r="D255" s="249" t="s">
        <v>347</v>
      </c>
      <c r="E255" s="239">
        <f t="shared" si="12"/>
        <v>51</v>
      </c>
      <c r="F255" s="250">
        <v>1.0</v>
      </c>
      <c r="G255" s="240" t="s">
        <v>48</v>
      </c>
      <c r="H255" s="248">
        <v>2020.0</v>
      </c>
      <c r="I255" s="29">
        <f t="shared" si="11"/>
        <v>5</v>
      </c>
      <c r="J255" s="36"/>
      <c r="K255" s="36">
        <f t="shared" si="5"/>
        <v>1</v>
      </c>
      <c r="L255" s="36">
        <f t="shared" si="6"/>
        <v>6</v>
      </c>
      <c r="M255" s="36">
        <f t="shared" si="7"/>
        <v>16</v>
      </c>
      <c r="N255" s="36">
        <f t="shared" si="8"/>
        <v>31</v>
      </c>
      <c r="O255" s="36">
        <f t="shared" si="9"/>
        <v>51</v>
      </c>
      <c r="P255" s="36">
        <f t="shared" si="10"/>
        <v>76</v>
      </c>
    </row>
    <row r="256" ht="15.75" customHeight="1">
      <c r="B256" s="29" t="s">
        <v>341</v>
      </c>
      <c r="C256" s="29" t="s">
        <v>51</v>
      </c>
      <c r="D256" s="59" t="s">
        <v>367</v>
      </c>
      <c r="E256" s="239">
        <f t="shared" si="12"/>
        <v>8</v>
      </c>
      <c r="F256" s="250">
        <v>3.0</v>
      </c>
      <c r="G256" s="240" t="s">
        <v>48</v>
      </c>
      <c r="H256" s="248">
        <v>2023.0</v>
      </c>
      <c r="I256" s="29">
        <f t="shared" si="11"/>
        <v>2</v>
      </c>
      <c r="J256" s="36"/>
      <c r="K256" s="36">
        <f t="shared" si="5"/>
        <v>3</v>
      </c>
      <c r="L256" s="36">
        <f t="shared" si="6"/>
        <v>8</v>
      </c>
      <c r="M256" s="36">
        <f t="shared" si="7"/>
        <v>18</v>
      </c>
      <c r="N256" s="36">
        <f t="shared" si="8"/>
        <v>33</v>
      </c>
      <c r="O256" s="36">
        <f t="shared" si="9"/>
        <v>53</v>
      </c>
      <c r="P256" s="36">
        <f t="shared" si="10"/>
        <v>78</v>
      </c>
    </row>
    <row r="257" ht="15.75" customHeight="1">
      <c r="B257" s="29" t="s">
        <v>341</v>
      </c>
      <c r="C257" s="29" t="s">
        <v>51</v>
      </c>
      <c r="D257" s="249" t="s">
        <v>826</v>
      </c>
      <c r="E257" s="239">
        <f t="shared" si="12"/>
        <v>16</v>
      </c>
      <c r="F257" s="257">
        <v>1.0</v>
      </c>
      <c r="G257" s="240" t="s">
        <v>48</v>
      </c>
      <c r="H257" s="248">
        <v>2022.0</v>
      </c>
      <c r="I257" s="29">
        <f t="shared" si="11"/>
        <v>3</v>
      </c>
      <c r="J257" s="36"/>
      <c r="K257" s="36">
        <f t="shared" si="5"/>
        <v>1</v>
      </c>
      <c r="L257" s="36">
        <f t="shared" si="6"/>
        <v>6</v>
      </c>
      <c r="M257" s="36">
        <f t="shared" si="7"/>
        <v>16</v>
      </c>
      <c r="N257" s="36">
        <f t="shared" si="8"/>
        <v>31</v>
      </c>
      <c r="O257" s="36">
        <f t="shared" si="9"/>
        <v>51</v>
      </c>
      <c r="P257" s="36">
        <f t="shared" si="10"/>
        <v>76</v>
      </c>
    </row>
    <row r="258" ht="15.75" customHeight="1">
      <c r="B258" s="29" t="s">
        <v>341</v>
      </c>
      <c r="C258" s="29" t="s">
        <v>51</v>
      </c>
      <c r="D258" s="59" t="s">
        <v>274</v>
      </c>
      <c r="E258" s="239">
        <f t="shared" si="12"/>
        <v>6</v>
      </c>
      <c r="F258" s="257">
        <v>1.0</v>
      </c>
      <c r="G258" s="240" t="s">
        <v>48</v>
      </c>
      <c r="H258" s="29">
        <v>2023.0</v>
      </c>
      <c r="I258" s="29">
        <f t="shared" si="11"/>
        <v>2</v>
      </c>
      <c r="J258" s="36"/>
      <c r="K258" s="36">
        <f t="shared" si="5"/>
        <v>1</v>
      </c>
      <c r="L258" s="36">
        <f t="shared" si="6"/>
        <v>6</v>
      </c>
      <c r="M258" s="36">
        <f t="shared" si="7"/>
        <v>16</v>
      </c>
      <c r="N258" s="36">
        <f t="shared" si="8"/>
        <v>31</v>
      </c>
      <c r="O258" s="36">
        <f t="shared" si="9"/>
        <v>51</v>
      </c>
      <c r="P258" s="36">
        <f t="shared" si="10"/>
        <v>76</v>
      </c>
    </row>
    <row r="259" ht="15.75" customHeight="1">
      <c r="B259" s="73" t="s">
        <v>341</v>
      </c>
      <c r="C259" s="29" t="s">
        <v>51</v>
      </c>
      <c r="D259" s="59" t="s">
        <v>345</v>
      </c>
      <c r="E259" s="239">
        <f t="shared" si="12"/>
        <v>6</v>
      </c>
      <c r="F259" s="250">
        <v>1.0</v>
      </c>
      <c r="G259" s="240" t="s">
        <v>48</v>
      </c>
      <c r="H259" s="248">
        <v>2023.0</v>
      </c>
      <c r="I259" s="29">
        <f t="shared" si="11"/>
        <v>2</v>
      </c>
      <c r="J259" s="36"/>
      <c r="K259" s="36">
        <f t="shared" si="5"/>
        <v>1</v>
      </c>
      <c r="L259" s="36">
        <f t="shared" si="6"/>
        <v>6</v>
      </c>
      <c r="M259" s="36">
        <f t="shared" si="7"/>
        <v>16</v>
      </c>
      <c r="N259" s="36">
        <f t="shared" si="8"/>
        <v>31</v>
      </c>
      <c r="O259" s="36">
        <f t="shared" si="9"/>
        <v>51</v>
      </c>
      <c r="P259" s="36">
        <f t="shared" si="10"/>
        <v>76</v>
      </c>
    </row>
    <row r="260" ht="15.75" customHeight="1">
      <c r="B260" s="73" t="s">
        <v>341</v>
      </c>
      <c r="C260" s="29" t="s">
        <v>51</v>
      </c>
      <c r="D260" s="59" t="s">
        <v>827</v>
      </c>
      <c r="E260" s="239">
        <f t="shared" si="12"/>
        <v>7</v>
      </c>
      <c r="F260" s="257">
        <v>2.0</v>
      </c>
      <c r="G260" s="240" t="s">
        <v>765</v>
      </c>
      <c r="H260" s="248">
        <v>2023.0</v>
      </c>
      <c r="I260" s="29">
        <f t="shared" si="11"/>
        <v>2</v>
      </c>
      <c r="J260" s="36"/>
      <c r="K260" s="36">
        <f t="shared" si="5"/>
        <v>2</v>
      </c>
      <c r="L260" s="36">
        <f t="shared" si="6"/>
        <v>7</v>
      </c>
      <c r="M260" s="36">
        <f t="shared" si="7"/>
        <v>17</v>
      </c>
      <c r="N260" s="36">
        <f t="shared" si="8"/>
        <v>32</v>
      </c>
      <c r="O260" s="36">
        <f t="shared" si="9"/>
        <v>52</v>
      </c>
      <c r="P260" s="36">
        <f t="shared" si="10"/>
        <v>77</v>
      </c>
    </row>
    <row r="261" ht="15.75" customHeight="1">
      <c r="B261" s="29" t="s">
        <v>341</v>
      </c>
      <c r="C261" s="29" t="s">
        <v>51</v>
      </c>
      <c r="D261" s="59" t="s">
        <v>828</v>
      </c>
      <c r="E261" s="239">
        <f t="shared" si="12"/>
        <v>7</v>
      </c>
      <c r="F261" s="250">
        <v>2.0</v>
      </c>
      <c r="G261" s="240" t="s">
        <v>765</v>
      </c>
      <c r="H261" s="248">
        <v>2023.0</v>
      </c>
      <c r="I261" s="29">
        <f t="shared" si="11"/>
        <v>2</v>
      </c>
      <c r="J261" s="36"/>
      <c r="K261" s="36">
        <f t="shared" si="5"/>
        <v>2</v>
      </c>
      <c r="L261" s="36">
        <f t="shared" si="6"/>
        <v>7</v>
      </c>
      <c r="M261" s="36">
        <f t="shared" si="7"/>
        <v>17</v>
      </c>
      <c r="N261" s="36">
        <f t="shared" si="8"/>
        <v>32</v>
      </c>
      <c r="O261" s="36">
        <f t="shared" si="9"/>
        <v>52</v>
      </c>
      <c r="P261" s="36">
        <f t="shared" si="10"/>
        <v>77</v>
      </c>
    </row>
    <row r="262" ht="15.75" customHeight="1">
      <c r="B262" s="29" t="s">
        <v>341</v>
      </c>
      <c r="C262" s="29" t="s">
        <v>51</v>
      </c>
      <c r="D262" s="59" t="s">
        <v>97</v>
      </c>
      <c r="E262" s="239">
        <f t="shared" si="12"/>
        <v>7</v>
      </c>
      <c r="F262" s="258">
        <v>2.0</v>
      </c>
      <c r="G262" s="240" t="s">
        <v>765</v>
      </c>
      <c r="H262" s="248">
        <v>2023.0</v>
      </c>
      <c r="I262" s="29">
        <f t="shared" si="11"/>
        <v>2</v>
      </c>
      <c r="J262" s="36"/>
      <c r="K262" s="36">
        <f t="shared" si="5"/>
        <v>2</v>
      </c>
      <c r="L262" s="36">
        <f t="shared" si="6"/>
        <v>7</v>
      </c>
      <c r="M262" s="36">
        <f t="shared" si="7"/>
        <v>17</v>
      </c>
      <c r="N262" s="36">
        <f t="shared" si="8"/>
        <v>32</v>
      </c>
      <c r="O262" s="36">
        <f t="shared" si="9"/>
        <v>52</v>
      </c>
      <c r="P262" s="36">
        <f t="shared" si="10"/>
        <v>77</v>
      </c>
    </row>
    <row r="263" ht="15.75" customHeight="1">
      <c r="B263" s="29" t="s">
        <v>341</v>
      </c>
      <c r="C263" s="28" t="s">
        <v>51</v>
      </c>
      <c r="D263" s="58" t="s">
        <v>76</v>
      </c>
      <c r="E263" s="239">
        <f t="shared" si="12"/>
        <v>1</v>
      </c>
      <c r="F263" s="259">
        <v>1.0</v>
      </c>
      <c r="G263" s="247" t="s">
        <v>19</v>
      </c>
      <c r="H263" s="251">
        <v>2024.0</v>
      </c>
      <c r="I263" s="29">
        <f t="shared" si="11"/>
        <v>1</v>
      </c>
      <c r="J263" s="36">
        <v>17.0</v>
      </c>
      <c r="K263" s="36">
        <f t="shared" si="5"/>
        <v>1</v>
      </c>
      <c r="L263" s="36">
        <f t="shared" si="6"/>
        <v>6</v>
      </c>
      <c r="M263" s="36">
        <f t="shared" si="7"/>
        <v>16</v>
      </c>
      <c r="N263" s="36">
        <f t="shared" si="8"/>
        <v>31</v>
      </c>
      <c r="O263" s="36">
        <f t="shared" si="9"/>
        <v>51</v>
      </c>
      <c r="P263" s="36">
        <f t="shared" si="10"/>
        <v>76</v>
      </c>
    </row>
    <row r="264" ht="15.75" customHeight="1">
      <c r="B264" s="29" t="s">
        <v>341</v>
      </c>
      <c r="C264" s="29" t="s">
        <v>60</v>
      </c>
      <c r="D264" s="59" t="s">
        <v>357</v>
      </c>
      <c r="E264" s="239">
        <f t="shared" si="12"/>
        <v>8</v>
      </c>
      <c r="F264" s="257">
        <v>3.0</v>
      </c>
      <c r="G264" s="240" t="s">
        <v>48</v>
      </c>
      <c r="H264" s="248">
        <v>2023.0</v>
      </c>
      <c r="I264" s="29">
        <f t="shared" si="11"/>
        <v>2</v>
      </c>
      <c r="J264" s="36"/>
      <c r="K264" s="36">
        <f t="shared" si="5"/>
        <v>3</v>
      </c>
      <c r="L264" s="36">
        <f t="shared" si="6"/>
        <v>8</v>
      </c>
      <c r="M264" s="36">
        <f t="shared" si="7"/>
        <v>18</v>
      </c>
      <c r="N264" s="36">
        <f t="shared" si="8"/>
        <v>33</v>
      </c>
      <c r="O264" s="36">
        <f t="shared" si="9"/>
        <v>53</v>
      </c>
      <c r="P264" s="36">
        <f t="shared" si="10"/>
        <v>78</v>
      </c>
    </row>
    <row r="265" ht="15.75" customHeight="1">
      <c r="B265" s="29" t="s">
        <v>341</v>
      </c>
      <c r="C265" s="50" t="s">
        <v>60</v>
      </c>
      <c r="D265" s="59" t="s">
        <v>273</v>
      </c>
      <c r="E265" s="239">
        <f t="shared" si="12"/>
        <v>7</v>
      </c>
      <c r="F265" s="257">
        <v>2.0</v>
      </c>
      <c r="G265" s="240" t="s">
        <v>765</v>
      </c>
      <c r="H265" s="248">
        <v>2023.0</v>
      </c>
      <c r="I265" s="29">
        <f t="shared" si="11"/>
        <v>2</v>
      </c>
      <c r="J265" s="36"/>
      <c r="K265" s="36">
        <f t="shared" si="5"/>
        <v>2</v>
      </c>
      <c r="L265" s="36">
        <f t="shared" si="6"/>
        <v>7</v>
      </c>
      <c r="M265" s="36">
        <f t="shared" si="7"/>
        <v>17</v>
      </c>
      <c r="N265" s="36">
        <f t="shared" si="8"/>
        <v>32</v>
      </c>
      <c r="O265" s="36">
        <f t="shared" si="9"/>
        <v>52</v>
      </c>
      <c r="P265" s="36">
        <f t="shared" si="10"/>
        <v>77</v>
      </c>
    </row>
    <row r="266" ht="15.75" customHeight="1">
      <c r="B266" s="29" t="s">
        <v>341</v>
      </c>
      <c r="C266" s="29" t="s">
        <v>46</v>
      </c>
      <c r="D266" s="59" t="s">
        <v>256</v>
      </c>
      <c r="E266" s="239">
        <f t="shared" si="12"/>
        <v>77</v>
      </c>
      <c r="F266" s="250">
        <v>2.0</v>
      </c>
      <c r="G266" s="240" t="s">
        <v>48</v>
      </c>
      <c r="H266" s="248">
        <v>2019.0</v>
      </c>
      <c r="I266" s="29">
        <f t="shared" si="11"/>
        <v>6</v>
      </c>
      <c r="J266" s="36"/>
      <c r="K266" s="36">
        <f t="shared" si="5"/>
        <v>2</v>
      </c>
      <c r="L266" s="36">
        <f t="shared" si="6"/>
        <v>7</v>
      </c>
      <c r="M266" s="36">
        <f t="shared" si="7"/>
        <v>17</v>
      </c>
      <c r="N266" s="36">
        <f t="shared" si="8"/>
        <v>32</v>
      </c>
      <c r="O266" s="36">
        <f t="shared" si="9"/>
        <v>52</v>
      </c>
      <c r="P266" s="36">
        <f t="shared" si="10"/>
        <v>77</v>
      </c>
    </row>
    <row r="267" ht="15.75" customHeight="1">
      <c r="B267" s="29" t="s">
        <v>341</v>
      </c>
      <c r="C267" s="29" t="s">
        <v>46</v>
      </c>
      <c r="D267" s="59" t="s">
        <v>343</v>
      </c>
      <c r="E267" s="239">
        <f t="shared" si="12"/>
        <v>10</v>
      </c>
      <c r="F267" s="250">
        <v>5.0</v>
      </c>
      <c r="G267" s="240" t="s">
        <v>48</v>
      </c>
      <c r="H267" s="248">
        <v>2023.0</v>
      </c>
      <c r="I267" s="29">
        <f t="shared" si="11"/>
        <v>2</v>
      </c>
      <c r="J267" s="36"/>
      <c r="K267" s="36">
        <f t="shared" si="5"/>
        <v>5</v>
      </c>
      <c r="L267" s="36">
        <f t="shared" si="6"/>
        <v>10</v>
      </c>
      <c r="M267" s="36">
        <f t="shared" si="7"/>
        <v>20</v>
      </c>
      <c r="N267" s="36">
        <f t="shared" si="8"/>
        <v>35</v>
      </c>
      <c r="O267" s="36">
        <f t="shared" si="9"/>
        <v>55</v>
      </c>
      <c r="P267" s="36">
        <f t="shared" si="10"/>
        <v>80</v>
      </c>
    </row>
    <row r="268" ht="15.75" customHeight="1">
      <c r="B268" s="29" t="s">
        <v>341</v>
      </c>
      <c r="C268" s="29" t="s">
        <v>46</v>
      </c>
      <c r="D268" s="59" t="s">
        <v>829</v>
      </c>
      <c r="E268" s="239">
        <f t="shared" si="12"/>
        <v>10</v>
      </c>
      <c r="F268" s="250">
        <v>5.0</v>
      </c>
      <c r="G268" s="240" t="s">
        <v>48</v>
      </c>
      <c r="H268" s="248">
        <v>2023.0</v>
      </c>
      <c r="I268" s="29">
        <f t="shared" si="11"/>
        <v>2</v>
      </c>
      <c r="J268" s="36"/>
      <c r="K268" s="36">
        <f t="shared" si="5"/>
        <v>5</v>
      </c>
      <c r="L268" s="36">
        <f t="shared" si="6"/>
        <v>10</v>
      </c>
      <c r="M268" s="36">
        <f t="shared" si="7"/>
        <v>20</v>
      </c>
      <c r="N268" s="36">
        <f t="shared" si="8"/>
        <v>35</v>
      </c>
      <c r="O268" s="36">
        <f t="shared" si="9"/>
        <v>55</v>
      </c>
      <c r="P268" s="36">
        <f t="shared" si="10"/>
        <v>80</v>
      </c>
    </row>
    <row r="269" ht="15.75" customHeight="1">
      <c r="B269" s="29" t="s">
        <v>341</v>
      </c>
      <c r="C269" s="29" t="s">
        <v>46</v>
      </c>
      <c r="D269" s="59" t="s">
        <v>344</v>
      </c>
      <c r="E269" s="239">
        <f t="shared" si="12"/>
        <v>7</v>
      </c>
      <c r="F269" s="250">
        <v>2.0</v>
      </c>
      <c r="G269" s="240" t="s">
        <v>765</v>
      </c>
      <c r="H269" s="248">
        <v>2023.0</v>
      </c>
      <c r="I269" s="29">
        <f t="shared" si="11"/>
        <v>2</v>
      </c>
      <c r="J269" s="36"/>
      <c r="K269" s="36">
        <f t="shared" si="5"/>
        <v>2</v>
      </c>
      <c r="L269" s="36">
        <f t="shared" si="6"/>
        <v>7</v>
      </c>
      <c r="M269" s="36">
        <f t="shared" si="7"/>
        <v>17</v>
      </c>
      <c r="N269" s="36">
        <f t="shared" si="8"/>
        <v>32</v>
      </c>
      <c r="O269" s="36">
        <f t="shared" si="9"/>
        <v>52</v>
      </c>
      <c r="P269" s="36">
        <f t="shared" si="10"/>
        <v>77</v>
      </c>
    </row>
    <row r="270" ht="15.75" customHeight="1">
      <c r="B270" s="29" t="s">
        <v>341</v>
      </c>
      <c r="C270" s="29" t="s">
        <v>46</v>
      </c>
      <c r="D270" s="59" t="s">
        <v>830</v>
      </c>
      <c r="E270" s="239">
        <f t="shared" si="12"/>
        <v>6</v>
      </c>
      <c r="F270" s="250">
        <v>1.0</v>
      </c>
      <c r="G270" s="240" t="s">
        <v>48</v>
      </c>
      <c r="H270" s="248">
        <v>2023.0</v>
      </c>
      <c r="I270" s="29">
        <f t="shared" si="11"/>
        <v>2</v>
      </c>
      <c r="J270" s="36"/>
      <c r="K270" s="36">
        <f t="shared" si="5"/>
        <v>1</v>
      </c>
      <c r="L270" s="36">
        <f t="shared" si="6"/>
        <v>6</v>
      </c>
      <c r="M270" s="36">
        <f t="shared" si="7"/>
        <v>16</v>
      </c>
      <c r="N270" s="36">
        <f t="shared" si="8"/>
        <v>31</v>
      </c>
      <c r="O270" s="36">
        <f t="shared" si="9"/>
        <v>51</v>
      </c>
      <c r="P270" s="36">
        <f t="shared" si="10"/>
        <v>76</v>
      </c>
    </row>
    <row r="271" ht="15.75" customHeight="1">
      <c r="B271" s="29" t="s">
        <v>341</v>
      </c>
      <c r="C271" s="29" t="s">
        <v>46</v>
      </c>
      <c r="D271" s="59" t="s">
        <v>831</v>
      </c>
      <c r="E271" s="239">
        <f t="shared" si="12"/>
        <v>7</v>
      </c>
      <c r="F271" s="258">
        <v>2.0</v>
      </c>
      <c r="G271" s="240" t="s">
        <v>765</v>
      </c>
      <c r="H271" s="248">
        <v>2023.0</v>
      </c>
      <c r="I271" s="29">
        <f t="shared" si="11"/>
        <v>2</v>
      </c>
      <c r="J271" s="36"/>
      <c r="K271" s="36">
        <f t="shared" si="5"/>
        <v>2</v>
      </c>
      <c r="L271" s="36">
        <f t="shared" si="6"/>
        <v>7</v>
      </c>
      <c r="M271" s="36">
        <f t="shared" si="7"/>
        <v>17</v>
      </c>
      <c r="N271" s="36">
        <f t="shared" si="8"/>
        <v>32</v>
      </c>
      <c r="O271" s="36">
        <f t="shared" si="9"/>
        <v>52</v>
      </c>
      <c r="P271" s="36">
        <f t="shared" si="10"/>
        <v>77</v>
      </c>
    </row>
    <row r="272" ht="15.75" customHeight="1">
      <c r="B272" s="29" t="s">
        <v>341</v>
      </c>
      <c r="C272" s="29" t="s">
        <v>46</v>
      </c>
      <c r="D272" s="59" t="s">
        <v>306</v>
      </c>
      <c r="E272" s="239">
        <f t="shared" si="12"/>
        <v>7</v>
      </c>
      <c r="F272" s="250">
        <v>2.0</v>
      </c>
      <c r="G272" s="240" t="s">
        <v>765</v>
      </c>
      <c r="H272" s="248">
        <v>2023.0</v>
      </c>
      <c r="I272" s="29">
        <f t="shared" si="11"/>
        <v>2</v>
      </c>
      <c r="J272" s="36"/>
      <c r="K272" s="36">
        <f t="shared" si="5"/>
        <v>2</v>
      </c>
      <c r="L272" s="36">
        <f t="shared" si="6"/>
        <v>7</v>
      </c>
      <c r="M272" s="36">
        <f t="shared" si="7"/>
        <v>17</v>
      </c>
      <c r="N272" s="36">
        <f t="shared" si="8"/>
        <v>32</v>
      </c>
      <c r="O272" s="36">
        <f t="shared" si="9"/>
        <v>52</v>
      </c>
      <c r="P272" s="36">
        <f t="shared" si="10"/>
        <v>77</v>
      </c>
    </row>
    <row r="273" ht="15.75" customHeight="1">
      <c r="B273" s="29" t="s">
        <v>341</v>
      </c>
      <c r="C273" s="29" t="s">
        <v>46</v>
      </c>
      <c r="D273" s="59" t="s">
        <v>832</v>
      </c>
      <c r="E273" s="239">
        <f t="shared" si="12"/>
        <v>7</v>
      </c>
      <c r="F273" s="250">
        <v>2.0</v>
      </c>
      <c r="G273" s="240" t="s">
        <v>765</v>
      </c>
      <c r="H273" s="248">
        <v>2023.0</v>
      </c>
      <c r="I273" s="29">
        <f t="shared" si="11"/>
        <v>2</v>
      </c>
      <c r="J273" s="36"/>
      <c r="K273" s="36">
        <f t="shared" si="5"/>
        <v>2</v>
      </c>
      <c r="L273" s="36">
        <f t="shared" si="6"/>
        <v>7</v>
      </c>
      <c r="M273" s="36">
        <f t="shared" si="7"/>
        <v>17</v>
      </c>
      <c r="N273" s="36">
        <f t="shared" si="8"/>
        <v>32</v>
      </c>
      <c r="O273" s="36">
        <f t="shared" si="9"/>
        <v>52</v>
      </c>
      <c r="P273" s="36">
        <f t="shared" si="10"/>
        <v>77</v>
      </c>
    </row>
    <row r="274" ht="15.75" customHeight="1">
      <c r="B274" s="29" t="s">
        <v>341</v>
      </c>
      <c r="C274" s="28" t="s">
        <v>46</v>
      </c>
      <c r="D274" s="58" t="s">
        <v>172</v>
      </c>
      <c r="E274" s="239">
        <f t="shared" si="12"/>
        <v>1</v>
      </c>
      <c r="F274" s="253">
        <v>1.0</v>
      </c>
      <c r="G274" s="247" t="s">
        <v>19</v>
      </c>
      <c r="H274" s="251">
        <v>2024.0</v>
      </c>
      <c r="I274" s="29">
        <f t="shared" si="11"/>
        <v>1</v>
      </c>
      <c r="J274" s="36">
        <v>17.0</v>
      </c>
      <c r="K274" s="36">
        <f t="shared" si="5"/>
        <v>1</v>
      </c>
      <c r="L274" s="36">
        <f t="shared" si="6"/>
        <v>6</v>
      </c>
      <c r="M274" s="36">
        <f t="shared" si="7"/>
        <v>16</v>
      </c>
      <c r="N274" s="36">
        <f t="shared" si="8"/>
        <v>31</v>
      </c>
      <c r="O274" s="36">
        <f t="shared" si="9"/>
        <v>51</v>
      </c>
      <c r="P274" s="36">
        <f t="shared" si="10"/>
        <v>76</v>
      </c>
    </row>
    <row r="275" ht="15.75" customHeight="1">
      <c r="B275" s="29" t="s">
        <v>833</v>
      </c>
      <c r="C275" s="29" t="s">
        <v>55</v>
      </c>
      <c r="D275" s="264" t="s">
        <v>834</v>
      </c>
      <c r="E275" s="239">
        <f t="shared" si="12"/>
        <v>6</v>
      </c>
      <c r="F275" s="250">
        <v>1.0</v>
      </c>
      <c r="G275" s="240" t="s">
        <v>48</v>
      </c>
      <c r="H275" s="248">
        <v>2023.0</v>
      </c>
      <c r="I275" s="29">
        <f t="shared" si="11"/>
        <v>2</v>
      </c>
      <c r="J275" s="36"/>
      <c r="K275" s="36">
        <f t="shared" si="5"/>
        <v>1</v>
      </c>
      <c r="L275" s="36">
        <f t="shared" si="6"/>
        <v>6</v>
      </c>
      <c r="M275" s="36">
        <f t="shared" si="7"/>
        <v>16</v>
      </c>
      <c r="N275" s="36">
        <f t="shared" si="8"/>
        <v>31</v>
      </c>
      <c r="O275" s="36">
        <f t="shared" si="9"/>
        <v>51</v>
      </c>
      <c r="P275" s="36">
        <f t="shared" si="10"/>
        <v>76</v>
      </c>
    </row>
    <row r="276" ht="15.75" customHeight="1">
      <c r="B276" s="29" t="s">
        <v>833</v>
      </c>
      <c r="C276" s="50" t="s">
        <v>55</v>
      </c>
      <c r="D276" s="59" t="s">
        <v>835</v>
      </c>
      <c r="E276" s="239">
        <f t="shared" si="12"/>
        <v>6</v>
      </c>
      <c r="F276" s="250">
        <v>1.0</v>
      </c>
      <c r="G276" s="240" t="s">
        <v>48</v>
      </c>
      <c r="H276" s="248">
        <v>2023.0</v>
      </c>
      <c r="I276" s="29">
        <f t="shared" si="11"/>
        <v>2</v>
      </c>
      <c r="J276" s="36"/>
      <c r="K276" s="36">
        <f t="shared" si="5"/>
        <v>1</v>
      </c>
      <c r="L276" s="36">
        <f t="shared" si="6"/>
        <v>6</v>
      </c>
      <c r="M276" s="36">
        <f t="shared" si="7"/>
        <v>16</v>
      </c>
      <c r="N276" s="36">
        <f t="shared" si="8"/>
        <v>31</v>
      </c>
      <c r="O276" s="36">
        <f t="shared" si="9"/>
        <v>51</v>
      </c>
      <c r="P276" s="36">
        <f t="shared" si="10"/>
        <v>76</v>
      </c>
    </row>
    <row r="277" ht="15.75" customHeight="1">
      <c r="B277" s="29" t="s">
        <v>833</v>
      </c>
      <c r="C277" s="29" t="s">
        <v>55</v>
      </c>
      <c r="D277" s="59" t="s">
        <v>836</v>
      </c>
      <c r="E277" s="239">
        <f t="shared" si="12"/>
        <v>7</v>
      </c>
      <c r="F277" s="250">
        <v>2.0</v>
      </c>
      <c r="G277" s="240" t="s">
        <v>48</v>
      </c>
      <c r="H277" s="248">
        <v>2023.0</v>
      </c>
      <c r="I277" s="29">
        <f t="shared" si="11"/>
        <v>2</v>
      </c>
      <c r="J277" s="36"/>
      <c r="K277" s="36">
        <f t="shared" si="5"/>
        <v>2</v>
      </c>
      <c r="L277" s="36">
        <f t="shared" si="6"/>
        <v>7</v>
      </c>
      <c r="M277" s="36">
        <f t="shared" si="7"/>
        <v>17</v>
      </c>
      <c r="N277" s="36">
        <f t="shared" si="8"/>
        <v>32</v>
      </c>
      <c r="O277" s="36">
        <f t="shared" si="9"/>
        <v>52</v>
      </c>
      <c r="P277" s="36">
        <f t="shared" si="10"/>
        <v>77</v>
      </c>
    </row>
    <row r="278" ht="15.75" customHeight="1">
      <c r="B278" s="29" t="s">
        <v>833</v>
      </c>
      <c r="C278" s="29" t="s">
        <v>55</v>
      </c>
      <c r="D278" s="59" t="s">
        <v>309</v>
      </c>
      <c r="E278" s="239">
        <f t="shared" si="12"/>
        <v>16</v>
      </c>
      <c r="F278" s="250">
        <v>1.0</v>
      </c>
      <c r="G278" s="240" t="s">
        <v>48</v>
      </c>
      <c r="H278" s="248">
        <v>2022.0</v>
      </c>
      <c r="I278" s="29">
        <f t="shared" si="11"/>
        <v>3</v>
      </c>
      <c r="J278" s="36"/>
      <c r="K278" s="36">
        <f t="shared" si="5"/>
        <v>1</v>
      </c>
      <c r="L278" s="36">
        <f t="shared" si="6"/>
        <v>6</v>
      </c>
      <c r="M278" s="36">
        <f t="shared" si="7"/>
        <v>16</v>
      </c>
      <c r="N278" s="36">
        <f t="shared" si="8"/>
        <v>31</v>
      </c>
      <c r="O278" s="36">
        <f t="shared" si="9"/>
        <v>51</v>
      </c>
      <c r="P278" s="36">
        <f t="shared" si="10"/>
        <v>76</v>
      </c>
    </row>
    <row r="279" ht="15.75" customHeight="1">
      <c r="B279" s="29" t="s">
        <v>833</v>
      </c>
      <c r="C279" s="29" t="s">
        <v>55</v>
      </c>
      <c r="D279" s="264" t="s">
        <v>178</v>
      </c>
      <c r="E279" s="239">
        <f t="shared" si="12"/>
        <v>6</v>
      </c>
      <c r="F279" s="250">
        <v>1.0</v>
      </c>
      <c r="G279" s="240" t="s">
        <v>48</v>
      </c>
      <c r="H279" s="248">
        <v>2023.0</v>
      </c>
      <c r="I279" s="29">
        <f t="shared" si="11"/>
        <v>2</v>
      </c>
      <c r="J279" s="36"/>
      <c r="K279" s="36">
        <f t="shared" si="5"/>
        <v>1</v>
      </c>
      <c r="L279" s="36">
        <f t="shared" si="6"/>
        <v>6</v>
      </c>
      <c r="M279" s="36">
        <f t="shared" si="7"/>
        <v>16</v>
      </c>
      <c r="N279" s="36">
        <f t="shared" si="8"/>
        <v>31</v>
      </c>
      <c r="O279" s="36">
        <f t="shared" si="9"/>
        <v>51</v>
      </c>
      <c r="P279" s="36">
        <f t="shared" si="10"/>
        <v>76</v>
      </c>
    </row>
    <row r="280" ht="15.75" customHeight="1">
      <c r="B280" s="29" t="s">
        <v>833</v>
      </c>
      <c r="C280" s="50" t="s">
        <v>55</v>
      </c>
      <c r="D280" s="59" t="s">
        <v>268</v>
      </c>
      <c r="E280" s="239">
        <f t="shared" si="12"/>
        <v>8</v>
      </c>
      <c r="F280" s="257">
        <v>3.0</v>
      </c>
      <c r="G280" s="240" t="s">
        <v>48</v>
      </c>
      <c r="H280" s="248">
        <v>2023.0</v>
      </c>
      <c r="I280" s="29">
        <f t="shared" si="11"/>
        <v>2</v>
      </c>
      <c r="J280" s="36"/>
      <c r="K280" s="36">
        <f t="shared" si="5"/>
        <v>3</v>
      </c>
      <c r="L280" s="36">
        <f t="shared" si="6"/>
        <v>8</v>
      </c>
      <c r="M280" s="36">
        <f t="shared" si="7"/>
        <v>18</v>
      </c>
      <c r="N280" s="36">
        <f t="shared" si="8"/>
        <v>33</v>
      </c>
      <c r="O280" s="36">
        <f t="shared" si="9"/>
        <v>53</v>
      </c>
      <c r="P280" s="36">
        <f t="shared" si="10"/>
        <v>78</v>
      </c>
    </row>
    <row r="281" ht="15.75" customHeight="1">
      <c r="B281" s="29" t="s">
        <v>833</v>
      </c>
      <c r="C281" s="29" t="s">
        <v>55</v>
      </c>
      <c r="D281" s="59" t="s">
        <v>837</v>
      </c>
      <c r="E281" s="239" t="str">
        <f t="shared" si="12"/>
        <v>Free Agent</v>
      </c>
      <c r="F281" s="260"/>
      <c r="G281" s="240" t="s">
        <v>765</v>
      </c>
      <c r="H281" s="248"/>
      <c r="I281" s="29">
        <f t="shared" si="11"/>
        <v>2025</v>
      </c>
      <c r="J281" s="36"/>
      <c r="K281" s="36">
        <f t="shared" si="5"/>
        <v>1</v>
      </c>
      <c r="L281" s="36">
        <f t="shared" si="6"/>
        <v>6</v>
      </c>
      <c r="M281" s="36">
        <f t="shared" si="7"/>
        <v>16</v>
      </c>
      <c r="N281" s="36">
        <f t="shared" si="8"/>
        <v>31</v>
      </c>
      <c r="O281" s="36">
        <f t="shared" si="9"/>
        <v>51</v>
      </c>
      <c r="P281" s="36">
        <f t="shared" si="10"/>
        <v>76</v>
      </c>
    </row>
    <row r="282" ht="15.75" customHeight="1">
      <c r="B282" s="29" t="s">
        <v>833</v>
      </c>
      <c r="C282" s="29" t="s">
        <v>55</v>
      </c>
      <c r="D282" s="59" t="s">
        <v>838</v>
      </c>
      <c r="E282" s="239" t="str">
        <f t="shared" si="12"/>
        <v>Free Agent</v>
      </c>
      <c r="F282" s="258"/>
      <c r="G282" s="240" t="s">
        <v>765</v>
      </c>
      <c r="H282" s="248"/>
      <c r="I282" s="29">
        <f t="shared" si="11"/>
        <v>2025</v>
      </c>
      <c r="J282" s="36"/>
      <c r="K282" s="36">
        <f t="shared" si="5"/>
        <v>1</v>
      </c>
      <c r="L282" s="36">
        <f t="shared" si="6"/>
        <v>6</v>
      </c>
      <c r="M282" s="36">
        <f t="shared" si="7"/>
        <v>16</v>
      </c>
      <c r="N282" s="36">
        <f t="shared" si="8"/>
        <v>31</v>
      </c>
      <c r="O282" s="36">
        <f t="shared" si="9"/>
        <v>51</v>
      </c>
      <c r="P282" s="36">
        <f t="shared" si="10"/>
        <v>76</v>
      </c>
    </row>
    <row r="283" ht="15.75" customHeight="1">
      <c r="B283" s="29" t="s">
        <v>833</v>
      </c>
      <c r="C283" s="29" t="s">
        <v>55</v>
      </c>
      <c r="D283" s="59" t="s">
        <v>839</v>
      </c>
      <c r="E283" s="239" t="str">
        <f t="shared" si="12"/>
        <v>Free Agent</v>
      </c>
      <c r="F283" s="250"/>
      <c r="G283" s="240" t="s">
        <v>765</v>
      </c>
      <c r="H283" s="248"/>
      <c r="I283" s="29">
        <f t="shared" si="11"/>
        <v>2025</v>
      </c>
      <c r="J283" s="36"/>
      <c r="K283" s="36">
        <f t="shared" si="5"/>
        <v>1</v>
      </c>
      <c r="L283" s="36">
        <f t="shared" si="6"/>
        <v>6</v>
      </c>
      <c r="M283" s="36">
        <f t="shared" si="7"/>
        <v>16</v>
      </c>
      <c r="N283" s="36">
        <f t="shared" si="8"/>
        <v>31</v>
      </c>
      <c r="O283" s="36">
        <f t="shared" si="9"/>
        <v>51</v>
      </c>
      <c r="P283" s="36">
        <f t="shared" si="10"/>
        <v>76</v>
      </c>
    </row>
    <row r="284" ht="15.75" customHeight="1">
      <c r="B284" s="29" t="s">
        <v>833</v>
      </c>
      <c r="C284" s="29" t="s">
        <v>55</v>
      </c>
      <c r="D284" s="59" t="s">
        <v>840</v>
      </c>
      <c r="E284" s="239" t="str">
        <f t="shared" si="12"/>
        <v>Free Agent</v>
      </c>
      <c r="F284" s="258"/>
      <c r="G284" s="240" t="s">
        <v>765</v>
      </c>
      <c r="H284" s="248"/>
      <c r="I284" s="29">
        <f t="shared" si="11"/>
        <v>2025</v>
      </c>
      <c r="J284" s="36"/>
      <c r="K284" s="36">
        <f t="shared" si="5"/>
        <v>1</v>
      </c>
      <c r="L284" s="36">
        <f t="shared" si="6"/>
        <v>6</v>
      </c>
      <c r="M284" s="36">
        <f t="shared" si="7"/>
        <v>16</v>
      </c>
      <c r="N284" s="36">
        <f t="shared" si="8"/>
        <v>31</v>
      </c>
      <c r="O284" s="36">
        <f t="shared" si="9"/>
        <v>51</v>
      </c>
      <c r="P284" s="36">
        <f t="shared" si="10"/>
        <v>76</v>
      </c>
    </row>
    <row r="285" ht="15.75" customHeight="1">
      <c r="B285" s="29" t="s">
        <v>833</v>
      </c>
      <c r="C285" s="29" t="s">
        <v>55</v>
      </c>
      <c r="D285" s="59" t="s">
        <v>371</v>
      </c>
      <c r="E285" s="239" t="str">
        <f t="shared" si="12"/>
        <v>Free Agent</v>
      </c>
      <c r="F285" s="250"/>
      <c r="G285" s="240" t="s">
        <v>765</v>
      </c>
      <c r="H285" s="248"/>
      <c r="I285" s="29">
        <f t="shared" si="11"/>
        <v>2025</v>
      </c>
      <c r="J285" s="36"/>
      <c r="K285" s="36">
        <f t="shared" si="5"/>
        <v>1</v>
      </c>
      <c r="L285" s="36">
        <f t="shared" si="6"/>
        <v>6</v>
      </c>
      <c r="M285" s="36">
        <f t="shared" si="7"/>
        <v>16</v>
      </c>
      <c r="N285" s="36">
        <f t="shared" si="8"/>
        <v>31</v>
      </c>
      <c r="O285" s="36">
        <f t="shared" si="9"/>
        <v>51</v>
      </c>
      <c r="P285" s="36">
        <f t="shared" si="10"/>
        <v>76</v>
      </c>
    </row>
    <row r="286" ht="15.75" customHeight="1">
      <c r="B286" s="29" t="s">
        <v>833</v>
      </c>
      <c r="C286" s="29" t="s">
        <v>55</v>
      </c>
      <c r="D286" s="264" t="s">
        <v>147</v>
      </c>
      <c r="E286" s="239" t="str">
        <f t="shared" si="12"/>
        <v>Free Agent</v>
      </c>
      <c r="F286" s="257"/>
      <c r="G286" s="240" t="s">
        <v>765</v>
      </c>
      <c r="H286" s="248"/>
      <c r="I286" s="29">
        <f t="shared" si="11"/>
        <v>2025</v>
      </c>
      <c r="J286" s="36"/>
      <c r="K286" s="36">
        <f t="shared" si="5"/>
        <v>1</v>
      </c>
      <c r="L286" s="36">
        <f t="shared" si="6"/>
        <v>6</v>
      </c>
      <c r="M286" s="36">
        <f t="shared" si="7"/>
        <v>16</v>
      </c>
      <c r="N286" s="36">
        <f t="shared" si="8"/>
        <v>31</v>
      </c>
      <c r="O286" s="36">
        <f t="shared" si="9"/>
        <v>51</v>
      </c>
      <c r="P286" s="36">
        <f t="shared" si="10"/>
        <v>76</v>
      </c>
    </row>
    <row r="287" ht="15.75" customHeight="1">
      <c r="B287" s="29" t="s">
        <v>833</v>
      </c>
      <c r="C287" s="29" t="s">
        <v>55</v>
      </c>
      <c r="D287" s="59" t="s">
        <v>841</v>
      </c>
      <c r="E287" s="239" t="str">
        <f t="shared" si="12"/>
        <v>Free Agent</v>
      </c>
      <c r="F287" s="258"/>
      <c r="G287" s="240" t="s">
        <v>765</v>
      </c>
      <c r="H287" s="248"/>
      <c r="I287" s="29">
        <f t="shared" si="11"/>
        <v>2025</v>
      </c>
      <c r="J287" s="36"/>
      <c r="K287" s="36">
        <f t="shared" si="5"/>
        <v>1</v>
      </c>
      <c r="L287" s="36">
        <f t="shared" si="6"/>
        <v>6</v>
      </c>
      <c r="M287" s="36">
        <f t="shared" si="7"/>
        <v>16</v>
      </c>
      <c r="N287" s="36">
        <f t="shared" si="8"/>
        <v>31</v>
      </c>
      <c r="O287" s="36">
        <f t="shared" si="9"/>
        <v>51</v>
      </c>
      <c r="P287" s="36">
        <f t="shared" si="10"/>
        <v>76</v>
      </c>
    </row>
    <row r="288" ht="15.75" customHeight="1">
      <c r="B288" s="29" t="s">
        <v>833</v>
      </c>
      <c r="C288" s="29" t="s">
        <v>55</v>
      </c>
      <c r="D288" s="59" t="s">
        <v>380</v>
      </c>
      <c r="E288" s="239" t="str">
        <f t="shared" si="12"/>
        <v>Free Agent</v>
      </c>
      <c r="F288" s="258"/>
      <c r="G288" s="240" t="s">
        <v>765</v>
      </c>
      <c r="H288" s="248"/>
      <c r="I288" s="29">
        <f t="shared" si="11"/>
        <v>2025</v>
      </c>
      <c r="J288" s="36"/>
      <c r="K288" s="36">
        <f t="shared" si="5"/>
        <v>1</v>
      </c>
      <c r="L288" s="36">
        <f t="shared" si="6"/>
        <v>6</v>
      </c>
      <c r="M288" s="36">
        <f t="shared" si="7"/>
        <v>16</v>
      </c>
      <c r="N288" s="36">
        <f t="shared" si="8"/>
        <v>31</v>
      </c>
      <c r="O288" s="36">
        <f t="shared" si="9"/>
        <v>51</v>
      </c>
      <c r="P288" s="36">
        <f t="shared" si="10"/>
        <v>76</v>
      </c>
    </row>
    <row r="289" ht="15.75" customHeight="1">
      <c r="B289" s="29" t="s">
        <v>833</v>
      </c>
      <c r="C289" s="29" t="s">
        <v>55</v>
      </c>
      <c r="D289" s="59" t="s">
        <v>842</v>
      </c>
      <c r="E289" s="239" t="str">
        <f t="shared" si="12"/>
        <v>Free Agent</v>
      </c>
      <c r="F289" s="260"/>
      <c r="G289" s="240" t="s">
        <v>765</v>
      </c>
      <c r="H289" s="248"/>
      <c r="I289" s="29">
        <f t="shared" si="11"/>
        <v>2025</v>
      </c>
      <c r="J289" s="36"/>
      <c r="K289" s="36">
        <f t="shared" si="5"/>
        <v>1</v>
      </c>
      <c r="L289" s="36">
        <f t="shared" si="6"/>
        <v>6</v>
      </c>
      <c r="M289" s="36">
        <f t="shared" si="7"/>
        <v>16</v>
      </c>
      <c r="N289" s="36">
        <f t="shared" si="8"/>
        <v>31</v>
      </c>
      <c r="O289" s="36">
        <f t="shared" si="9"/>
        <v>51</v>
      </c>
      <c r="P289" s="36">
        <f t="shared" si="10"/>
        <v>76</v>
      </c>
    </row>
    <row r="290" ht="15.75" customHeight="1">
      <c r="B290" s="29" t="s">
        <v>833</v>
      </c>
      <c r="C290" s="29" t="s">
        <v>55</v>
      </c>
      <c r="D290" s="59" t="s">
        <v>257</v>
      </c>
      <c r="E290" s="239" t="str">
        <f t="shared" si="12"/>
        <v>Free Agent</v>
      </c>
      <c r="F290" s="250"/>
      <c r="G290" s="240" t="s">
        <v>765</v>
      </c>
      <c r="H290" s="248"/>
      <c r="I290" s="29">
        <f t="shared" si="11"/>
        <v>2025</v>
      </c>
      <c r="J290" s="36"/>
      <c r="K290" s="36">
        <f t="shared" si="5"/>
        <v>1</v>
      </c>
      <c r="L290" s="36">
        <f t="shared" si="6"/>
        <v>6</v>
      </c>
      <c r="M290" s="36">
        <f t="shared" si="7"/>
        <v>16</v>
      </c>
      <c r="N290" s="36">
        <f t="shared" si="8"/>
        <v>31</v>
      </c>
      <c r="O290" s="36">
        <f t="shared" si="9"/>
        <v>51</v>
      </c>
      <c r="P290" s="36">
        <f t="shared" si="10"/>
        <v>76</v>
      </c>
    </row>
    <row r="291" ht="15.75" customHeight="1">
      <c r="B291" s="29" t="s">
        <v>833</v>
      </c>
      <c r="C291" s="29" t="s">
        <v>55</v>
      </c>
      <c r="D291" s="59" t="s">
        <v>240</v>
      </c>
      <c r="E291" s="239" t="str">
        <f t="shared" si="12"/>
        <v>Free Agent</v>
      </c>
      <c r="F291" s="250"/>
      <c r="G291" s="240" t="s">
        <v>765</v>
      </c>
      <c r="H291" s="248"/>
      <c r="I291" s="29">
        <f t="shared" si="11"/>
        <v>2025</v>
      </c>
      <c r="J291" s="36"/>
      <c r="K291" s="36">
        <f t="shared" si="5"/>
        <v>1</v>
      </c>
      <c r="L291" s="36">
        <f t="shared" si="6"/>
        <v>6</v>
      </c>
      <c r="M291" s="36">
        <f t="shared" si="7"/>
        <v>16</v>
      </c>
      <c r="N291" s="36">
        <f t="shared" si="8"/>
        <v>31</v>
      </c>
      <c r="O291" s="36">
        <f t="shared" si="9"/>
        <v>51</v>
      </c>
      <c r="P291" s="36">
        <f t="shared" si="10"/>
        <v>76</v>
      </c>
    </row>
    <row r="292" ht="15.75" customHeight="1">
      <c r="B292" s="29" t="s">
        <v>833</v>
      </c>
      <c r="C292" s="29" t="s">
        <v>55</v>
      </c>
      <c r="D292" s="59" t="s">
        <v>843</v>
      </c>
      <c r="E292" s="239" t="str">
        <f t="shared" si="12"/>
        <v>Free Agent</v>
      </c>
      <c r="F292" s="250"/>
      <c r="G292" s="240" t="s">
        <v>765</v>
      </c>
      <c r="H292" s="248"/>
      <c r="I292" s="29">
        <f t="shared" si="11"/>
        <v>2025</v>
      </c>
      <c r="J292" s="36"/>
      <c r="K292" s="36">
        <f t="shared" si="5"/>
        <v>1</v>
      </c>
      <c r="L292" s="36">
        <f t="shared" si="6"/>
        <v>6</v>
      </c>
      <c r="M292" s="36">
        <f t="shared" si="7"/>
        <v>16</v>
      </c>
      <c r="N292" s="36">
        <f t="shared" si="8"/>
        <v>31</v>
      </c>
      <c r="O292" s="36">
        <f t="shared" si="9"/>
        <v>51</v>
      </c>
      <c r="P292" s="36">
        <f t="shared" si="10"/>
        <v>76</v>
      </c>
    </row>
    <row r="293" ht="15.75" customHeight="1">
      <c r="B293" s="29" t="s">
        <v>833</v>
      </c>
      <c r="C293" s="29" t="s">
        <v>55</v>
      </c>
      <c r="D293" s="264" t="s">
        <v>844</v>
      </c>
      <c r="E293" s="239" t="str">
        <f t="shared" si="12"/>
        <v>Free Agent</v>
      </c>
      <c r="F293" s="250"/>
      <c r="G293" s="240" t="s">
        <v>765</v>
      </c>
      <c r="H293" s="248"/>
      <c r="I293" s="29">
        <f t="shared" si="11"/>
        <v>2025</v>
      </c>
      <c r="J293" s="36"/>
      <c r="K293" s="36">
        <f t="shared" si="5"/>
        <v>1</v>
      </c>
      <c r="L293" s="36">
        <f t="shared" si="6"/>
        <v>6</v>
      </c>
      <c r="M293" s="36">
        <f t="shared" si="7"/>
        <v>16</v>
      </c>
      <c r="N293" s="36">
        <f t="shared" si="8"/>
        <v>31</v>
      </c>
      <c r="O293" s="36">
        <f t="shared" si="9"/>
        <v>51</v>
      </c>
      <c r="P293" s="36">
        <f t="shared" si="10"/>
        <v>76</v>
      </c>
    </row>
    <row r="294" ht="15.75" customHeight="1">
      <c r="B294" s="29" t="s">
        <v>833</v>
      </c>
      <c r="C294" s="29" t="s">
        <v>55</v>
      </c>
      <c r="D294" s="59" t="s">
        <v>845</v>
      </c>
      <c r="E294" s="239" t="str">
        <f t="shared" si="12"/>
        <v>Free Agent</v>
      </c>
      <c r="F294" s="250"/>
      <c r="G294" s="240" t="s">
        <v>765</v>
      </c>
      <c r="H294" s="248"/>
      <c r="I294" s="29">
        <f t="shared" si="11"/>
        <v>2025</v>
      </c>
      <c r="J294" s="36"/>
      <c r="K294" s="36">
        <f t="shared" si="5"/>
        <v>1</v>
      </c>
      <c r="L294" s="36">
        <f t="shared" si="6"/>
        <v>6</v>
      </c>
      <c r="M294" s="36">
        <f t="shared" si="7"/>
        <v>16</v>
      </c>
      <c r="N294" s="36">
        <f t="shared" si="8"/>
        <v>31</v>
      </c>
      <c r="O294" s="36">
        <f t="shared" si="9"/>
        <v>51</v>
      </c>
      <c r="P294" s="36">
        <f t="shared" si="10"/>
        <v>76</v>
      </c>
    </row>
    <row r="295" ht="15.75" customHeight="1">
      <c r="B295" s="29" t="s">
        <v>833</v>
      </c>
      <c r="C295" s="29" t="s">
        <v>55</v>
      </c>
      <c r="D295" s="59" t="s">
        <v>846</v>
      </c>
      <c r="E295" s="239" t="str">
        <f t="shared" si="12"/>
        <v>Free Agent</v>
      </c>
      <c r="F295" s="250"/>
      <c r="G295" s="240" t="s">
        <v>765</v>
      </c>
      <c r="H295" s="248"/>
      <c r="I295" s="29">
        <f t="shared" si="11"/>
        <v>2025</v>
      </c>
      <c r="J295" s="36"/>
      <c r="K295" s="36">
        <f t="shared" si="5"/>
        <v>1</v>
      </c>
      <c r="L295" s="36">
        <f t="shared" si="6"/>
        <v>6</v>
      </c>
      <c r="M295" s="36">
        <f t="shared" si="7"/>
        <v>16</v>
      </c>
      <c r="N295" s="36">
        <f t="shared" si="8"/>
        <v>31</v>
      </c>
      <c r="O295" s="36">
        <f t="shared" si="9"/>
        <v>51</v>
      </c>
      <c r="P295" s="36">
        <f t="shared" si="10"/>
        <v>76</v>
      </c>
    </row>
    <row r="296" ht="15.75" customHeight="1">
      <c r="B296" s="29" t="s">
        <v>833</v>
      </c>
      <c r="C296" s="29" t="s">
        <v>55</v>
      </c>
      <c r="D296" s="59" t="s">
        <v>847</v>
      </c>
      <c r="E296" s="239" t="str">
        <f t="shared" si="12"/>
        <v>Free Agent</v>
      </c>
      <c r="F296" s="240"/>
      <c r="G296" s="240" t="s">
        <v>765</v>
      </c>
      <c r="H296" s="29"/>
      <c r="I296" s="29">
        <f t="shared" si="11"/>
        <v>2025</v>
      </c>
      <c r="J296" s="36"/>
      <c r="K296" s="36">
        <f t="shared" si="5"/>
        <v>1</v>
      </c>
      <c r="L296" s="36">
        <f t="shared" si="6"/>
        <v>6</v>
      </c>
      <c r="M296" s="36">
        <f t="shared" si="7"/>
        <v>16</v>
      </c>
      <c r="N296" s="36">
        <f t="shared" si="8"/>
        <v>31</v>
      </c>
      <c r="O296" s="36">
        <f t="shared" si="9"/>
        <v>51</v>
      </c>
      <c r="P296" s="36">
        <f t="shared" si="10"/>
        <v>76</v>
      </c>
    </row>
    <row r="297" ht="15.75" customHeight="1">
      <c r="B297" s="29" t="s">
        <v>833</v>
      </c>
      <c r="C297" s="29" t="s">
        <v>55</v>
      </c>
      <c r="D297" s="59" t="s">
        <v>848</v>
      </c>
      <c r="E297" s="239" t="str">
        <f t="shared" si="12"/>
        <v>Free Agent</v>
      </c>
      <c r="F297" s="250"/>
      <c r="G297" s="240" t="s">
        <v>765</v>
      </c>
      <c r="H297" s="248"/>
      <c r="I297" s="29">
        <f t="shared" si="11"/>
        <v>2025</v>
      </c>
      <c r="J297" s="36"/>
      <c r="K297" s="36">
        <f t="shared" si="5"/>
        <v>1</v>
      </c>
      <c r="L297" s="36">
        <f t="shared" si="6"/>
        <v>6</v>
      </c>
      <c r="M297" s="36">
        <f t="shared" si="7"/>
        <v>16</v>
      </c>
      <c r="N297" s="36">
        <f t="shared" si="8"/>
        <v>31</v>
      </c>
      <c r="O297" s="36">
        <f t="shared" si="9"/>
        <v>51</v>
      </c>
      <c r="P297" s="36">
        <f t="shared" si="10"/>
        <v>76</v>
      </c>
    </row>
    <row r="298" ht="15.75" customHeight="1">
      <c r="B298" s="29" t="s">
        <v>833</v>
      </c>
      <c r="C298" s="29" t="s">
        <v>55</v>
      </c>
      <c r="D298" s="59" t="s">
        <v>849</v>
      </c>
      <c r="E298" s="239" t="str">
        <f t="shared" si="12"/>
        <v>Free Agent</v>
      </c>
      <c r="F298" s="257"/>
      <c r="G298" s="240" t="s">
        <v>765</v>
      </c>
      <c r="H298" s="248"/>
      <c r="I298" s="29">
        <f t="shared" si="11"/>
        <v>2025</v>
      </c>
      <c r="J298" s="36"/>
      <c r="K298" s="36">
        <f t="shared" si="5"/>
        <v>1</v>
      </c>
      <c r="L298" s="36">
        <f t="shared" si="6"/>
        <v>6</v>
      </c>
      <c r="M298" s="36">
        <f t="shared" si="7"/>
        <v>16</v>
      </c>
      <c r="N298" s="36">
        <f t="shared" si="8"/>
        <v>31</v>
      </c>
      <c r="O298" s="36">
        <f t="shared" si="9"/>
        <v>51</v>
      </c>
      <c r="P298" s="36">
        <f t="shared" si="10"/>
        <v>76</v>
      </c>
    </row>
    <row r="299" ht="15.75" customHeight="1">
      <c r="B299" s="29" t="s">
        <v>833</v>
      </c>
      <c r="C299" s="29" t="s">
        <v>55</v>
      </c>
      <c r="D299" s="249" t="s">
        <v>850</v>
      </c>
      <c r="E299" s="239" t="str">
        <f t="shared" si="12"/>
        <v>Free Agent</v>
      </c>
      <c r="F299" s="250"/>
      <c r="G299" s="240" t="s">
        <v>765</v>
      </c>
      <c r="H299" s="248"/>
      <c r="I299" s="29">
        <f t="shared" si="11"/>
        <v>2025</v>
      </c>
      <c r="J299" s="36"/>
      <c r="K299" s="36">
        <f t="shared" si="5"/>
        <v>1</v>
      </c>
      <c r="L299" s="36">
        <f t="shared" si="6"/>
        <v>6</v>
      </c>
      <c r="M299" s="36">
        <f t="shared" si="7"/>
        <v>16</v>
      </c>
      <c r="N299" s="36">
        <f t="shared" si="8"/>
        <v>31</v>
      </c>
      <c r="O299" s="36">
        <f t="shared" si="9"/>
        <v>51</v>
      </c>
      <c r="P299" s="36">
        <f t="shared" si="10"/>
        <v>76</v>
      </c>
    </row>
    <row r="300" ht="15.75" customHeight="1">
      <c r="B300" s="29" t="s">
        <v>833</v>
      </c>
      <c r="C300" s="265" t="s">
        <v>55</v>
      </c>
      <c r="D300" s="59" t="s">
        <v>851</v>
      </c>
      <c r="E300" s="239" t="str">
        <f t="shared" si="12"/>
        <v>Free Agent</v>
      </c>
      <c r="F300" s="240"/>
      <c r="G300" s="240" t="s">
        <v>765</v>
      </c>
      <c r="H300" s="29"/>
      <c r="I300" s="254">
        <f t="shared" si="11"/>
        <v>2025</v>
      </c>
      <c r="J300" s="36"/>
      <c r="K300" s="36">
        <f t="shared" si="5"/>
        <v>1</v>
      </c>
      <c r="L300" s="36">
        <f t="shared" si="6"/>
        <v>6</v>
      </c>
      <c r="M300" s="36">
        <f t="shared" si="7"/>
        <v>16</v>
      </c>
      <c r="N300" s="36">
        <f t="shared" si="8"/>
        <v>31</v>
      </c>
      <c r="O300" s="36">
        <f t="shared" si="9"/>
        <v>51</v>
      </c>
      <c r="P300" s="36">
        <f t="shared" si="10"/>
        <v>76</v>
      </c>
    </row>
    <row r="301" ht="15.75" customHeight="1">
      <c r="B301" s="29" t="s">
        <v>833</v>
      </c>
      <c r="C301" s="29" t="s">
        <v>51</v>
      </c>
      <c r="D301" s="238" t="s">
        <v>852</v>
      </c>
      <c r="E301" s="239">
        <f t="shared" si="12"/>
        <v>7</v>
      </c>
      <c r="F301" s="256">
        <v>2.0</v>
      </c>
      <c r="G301" s="240" t="s">
        <v>48</v>
      </c>
      <c r="H301" s="255">
        <v>2023.0</v>
      </c>
      <c r="I301" s="29">
        <f t="shared" si="11"/>
        <v>2</v>
      </c>
      <c r="J301" s="36"/>
      <c r="K301" s="36">
        <f t="shared" si="5"/>
        <v>2</v>
      </c>
      <c r="L301" s="36">
        <f t="shared" si="6"/>
        <v>7</v>
      </c>
      <c r="M301" s="36">
        <f t="shared" si="7"/>
        <v>17</v>
      </c>
      <c r="N301" s="36">
        <f t="shared" si="8"/>
        <v>32</v>
      </c>
      <c r="O301" s="36">
        <f t="shared" si="9"/>
        <v>52</v>
      </c>
      <c r="P301" s="36">
        <f t="shared" si="10"/>
        <v>77</v>
      </c>
    </row>
    <row r="302" ht="15.75" customHeight="1">
      <c r="B302" s="29" t="s">
        <v>833</v>
      </c>
      <c r="C302" s="29" t="s">
        <v>51</v>
      </c>
      <c r="D302" s="264" t="s">
        <v>853</v>
      </c>
      <c r="E302" s="239">
        <f t="shared" si="12"/>
        <v>6</v>
      </c>
      <c r="F302" s="250">
        <v>1.0</v>
      </c>
      <c r="G302" s="240" t="s">
        <v>48</v>
      </c>
      <c r="H302" s="248">
        <v>2023.0</v>
      </c>
      <c r="I302" s="29">
        <f t="shared" si="11"/>
        <v>2</v>
      </c>
      <c r="J302" s="36"/>
      <c r="K302" s="36">
        <f t="shared" si="5"/>
        <v>1</v>
      </c>
      <c r="L302" s="36">
        <f t="shared" si="6"/>
        <v>6</v>
      </c>
      <c r="M302" s="36">
        <f t="shared" si="7"/>
        <v>16</v>
      </c>
      <c r="N302" s="36">
        <f t="shared" si="8"/>
        <v>31</v>
      </c>
      <c r="O302" s="36">
        <f t="shared" si="9"/>
        <v>51</v>
      </c>
      <c r="P302" s="36">
        <f t="shared" si="10"/>
        <v>76</v>
      </c>
    </row>
    <row r="303" ht="15.75" customHeight="1">
      <c r="B303" s="29" t="s">
        <v>833</v>
      </c>
      <c r="C303" s="29" t="s">
        <v>51</v>
      </c>
      <c r="D303" s="59" t="s">
        <v>854</v>
      </c>
      <c r="E303" s="239">
        <f t="shared" si="12"/>
        <v>6</v>
      </c>
      <c r="F303" s="250">
        <v>1.0</v>
      </c>
      <c r="G303" s="240" t="s">
        <v>48</v>
      </c>
      <c r="H303" s="248">
        <v>2023.0</v>
      </c>
      <c r="I303" s="29">
        <f t="shared" si="11"/>
        <v>2</v>
      </c>
      <c r="J303" s="36"/>
      <c r="K303" s="36">
        <f t="shared" si="5"/>
        <v>1</v>
      </c>
      <c r="L303" s="36">
        <f t="shared" si="6"/>
        <v>6</v>
      </c>
      <c r="M303" s="36">
        <f t="shared" si="7"/>
        <v>16</v>
      </c>
      <c r="N303" s="36">
        <f t="shared" si="8"/>
        <v>31</v>
      </c>
      <c r="O303" s="36">
        <f t="shared" si="9"/>
        <v>51</v>
      </c>
      <c r="P303" s="36">
        <f t="shared" si="10"/>
        <v>76</v>
      </c>
    </row>
    <row r="304" ht="15.75" customHeight="1">
      <c r="B304" s="29" t="s">
        <v>833</v>
      </c>
      <c r="C304" s="29" t="s">
        <v>51</v>
      </c>
      <c r="D304" s="59" t="s">
        <v>855</v>
      </c>
      <c r="E304" s="239">
        <f t="shared" si="12"/>
        <v>6</v>
      </c>
      <c r="F304" s="258">
        <v>1.0</v>
      </c>
      <c r="G304" s="240" t="s">
        <v>48</v>
      </c>
      <c r="H304" s="248">
        <v>2023.0</v>
      </c>
      <c r="I304" s="29">
        <f t="shared" si="11"/>
        <v>2</v>
      </c>
      <c r="J304" s="36"/>
      <c r="K304" s="36">
        <f t="shared" si="5"/>
        <v>1</v>
      </c>
      <c r="L304" s="36">
        <f t="shared" si="6"/>
        <v>6</v>
      </c>
      <c r="M304" s="36">
        <f t="shared" si="7"/>
        <v>16</v>
      </c>
      <c r="N304" s="36">
        <f t="shared" si="8"/>
        <v>31</v>
      </c>
      <c r="O304" s="36">
        <f t="shared" si="9"/>
        <v>51</v>
      </c>
      <c r="P304" s="36">
        <f t="shared" si="10"/>
        <v>76</v>
      </c>
    </row>
    <row r="305" ht="15.75" customHeight="1">
      <c r="B305" s="29" t="s">
        <v>833</v>
      </c>
      <c r="C305" s="29" t="s">
        <v>51</v>
      </c>
      <c r="D305" s="59" t="s">
        <v>856</v>
      </c>
      <c r="E305" s="239">
        <f t="shared" si="12"/>
        <v>6</v>
      </c>
      <c r="F305" s="36">
        <v>1.0</v>
      </c>
      <c r="G305" s="240" t="s">
        <v>48</v>
      </c>
      <c r="H305" s="29">
        <v>2023.0</v>
      </c>
      <c r="I305" s="29">
        <f t="shared" si="11"/>
        <v>2</v>
      </c>
      <c r="J305" s="36"/>
      <c r="K305" s="36">
        <f t="shared" si="5"/>
        <v>1</v>
      </c>
      <c r="L305" s="36">
        <f t="shared" si="6"/>
        <v>6</v>
      </c>
      <c r="M305" s="36">
        <f t="shared" si="7"/>
        <v>16</v>
      </c>
      <c r="N305" s="36">
        <f t="shared" si="8"/>
        <v>31</v>
      </c>
      <c r="O305" s="36">
        <f t="shared" si="9"/>
        <v>51</v>
      </c>
      <c r="P305" s="36">
        <f t="shared" si="10"/>
        <v>76</v>
      </c>
    </row>
    <row r="306" ht="15.75" customHeight="1">
      <c r="B306" s="29" t="s">
        <v>833</v>
      </c>
      <c r="C306" s="29" t="s">
        <v>51</v>
      </c>
      <c r="D306" s="59" t="s">
        <v>857</v>
      </c>
      <c r="E306" s="239">
        <f t="shared" si="12"/>
        <v>24</v>
      </c>
      <c r="F306" s="257">
        <v>9.0</v>
      </c>
      <c r="G306" s="240" t="s">
        <v>48</v>
      </c>
      <c r="H306" s="248">
        <v>2022.0</v>
      </c>
      <c r="I306" s="29">
        <f t="shared" si="11"/>
        <v>3</v>
      </c>
      <c r="J306" s="36"/>
      <c r="K306" s="36">
        <f t="shared" si="5"/>
        <v>9</v>
      </c>
      <c r="L306" s="36">
        <f t="shared" si="6"/>
        <v>14</v>
      </c>
      <c r="M306" s="36">
        <f t="shared" si="7"/>
        <v>24</v>
      </c>
      <c r="N306" s="36">
        <f t="shared" si="8"/>
        <v>39</v>
      </c>
      <c r="O306" s="36">
        <f t="shared" si="9"/>
        <v>59</v>
      </c>
      <c r="P306" s="36">
        <f t="shared" si="10"/>
        <v>84</v>
      </c>
    </row>
    <row r="307" ht="15.75" customHeight="1">
      <c r="B307" s="29" t="s">
        <v>833</v>
      </c>
      <c r="C307" s="50" t="s">
        <v>51</v>
      </c>
      <c r="D307" s="59" t="s">
        <v>858</v>
      </c>
      <c r="E307" s="239">
        <f t="shared" si="12"/>
        <v>10</v>
      </c>
      <c r="F307" s="257">
        <v>5.0</v>
      </c>
      <c r="G307" s="240" t="s">
        <v>48</v>
      </c>
      <c r="H307" s="248">
        <v>2023.0</v>
      </c>
      <c r="I307" s="29">
        <f t="shared" si="11"/>
        <v>2</v>
      </c>
      <c r="J307" s="36"/>
      <c r="K307" s="36">
        <f t="shared" si="5"/>
        <v>5</v>
      </c>
      <c r="L307" s="36">
        <f t="shared" si="6"/>
        <v>10</v>
      </c>
      <c r="M307" s="36">
        <f t="shared" si="7"/>
        <v>20</v>
      </c>
      <c r="N307" s="36">
        <f t="shared" si="8"/>
        <v>35</v>
      </c>
      <c r="O307" s="36">
        <f t="shared" si="9"/>
        <v>55</v>
      </c>
      <c r="P307" s="36">
        <f t="shared" si="10"/>
        <v>80</v>
      </c>
    </row>
    <row r="308" ht="15.75" customHeight="1">
      <c r="B308" s="29" t="s">
        <v>833</v>
      </c>
      <c r="C308" s="29" t="s">
        <v>51</v>
      </c>
      <c r="D308" s="59" t="s">
        <v>859</v>
      </c>
      <c r="E308" s="239">
        <f t="shared" si="12"/>
        <v>7</v>
      </c>
      <c r="F308" s="240">
        <v>2.0</v>
      </c>
      <c r="G308" s="240" t="s">
        <v>48</v>
      </c>
      <c r="H308" s="29">
        <v>2023.0</v>
      </c>
      <c r="I308" s="29">
        <f t="shared" si="11"/>
        <v>2</v>
      </c>
      <c r="J308" s="36"/>
      <c r="K308" s="36">
        <f t="shared" si="5"/>
        <v>2</v>
      </c>
      <c r="L308" s="36">
        <f t="shared" si="6"/>
        <v>7</v>
      </c>
      <c r="M308" s="36">
        <f t="shared" si="7"/>
        <v>17</v>
      </c>
      <c r="N308" s="36">
        <f t="shared" si="8"/>
        <v>32</v>
      </c>
      <c r="O308" s="36">
        <f t="shared" si="9"/>
        <v>52</v>
      </c>
      <c r="P308" s="36">
        <f t="shared" si="10"/>
        <v>77</v>
      </c>
    </row>
    <row r="309" ht="15.75" customHeight="1">
      <c r="B309" s="29" t="s">
        <v>833</v>
      </c>
      <c r="C309" s="29" t="s">
        <v>51</v>
      </c>
      <c r="D309" s="59" t="s">
        <v>860</v>
      </c>
      <c r="E309" s="239">
        <f t="shared" si="12"/>
        <v>6</v>
      </c>
      <c r="F309" s="257">
        <v>1.0</v>
      </c>
      <c r="G309" s="240" t="s">
        <v>48</v>
      </c>
      <c r="H309" s="29">
        <v>2023.0</v>
      </c>
      <c r="I309" s="29">
        <f t="shared" si="11"/>
        <v>2</v>
      </c>
      <c r="J309" s="36"/>
      <c r="K309" s="36">
        <f t="shared" si="5"/>
        <v>1</v>
      </c>
      <c r="L309" s="36">
        <f t="shared" si="6"/>
        <v>6</v>
      </c>
      <c r="M309" s="36">
        <f t="shared" si="7"/>
        <v>16</v>
      </c>
      <c r="N309" s="36">
        <f t="shared" si="8"/>
        <v>31</v>
      </c>
      <c r="O309" s="36">
        <f t="shared" si="9"/>
        <v>51</v>
      </c>
      <c r="P309" s="36">
        <f t="shared" si="10"/>
        <v>76</v>
      </c>
    </row>
    <row r="310" ht="15.75" customHeight="1">
      <c r="B310" s="29" t="s">
        <v>833</v>
      </c>
      <c r="C310" s="29" t="s">
        <v>51</v>
      </c>
      <c r="D310" s="59" t="s">
        <v>861</v>
      </c>
      <c r="E310" s="239">
        <f t="shared" si="12"/>
        <v>6</v>
      </c>
      <c r="F310" s="36">
        <v>1.0</v>
      </c>
      <c r="G310" s="240" t="s">
        <v>48</v>
      </c>
      <c r="H310" s="29">
        <v>2023.0</v>
      </c>
      <c r="I310" s="29">
        <f t="shared" si="11"/>
        <v>2</v>
      </c>
      <c r="J310" s="36"/>
      <c r="K310" s="36">
        <f t="shared" si="5"/>
        <v>1</v>
      </c>
      <c r="L310" s="36">
        <f t="shared" si="6"/>
        <v>6</v>
      </c>
      <c r="M310" s="36">
        <f t="shared" si="7"/>
        <v>16</v>
      </c>
      <c r="N310" s="36">
        <f t="shared" si="8"/>
        <v>31</v>
      </c>
      <c r="O310" s="36">
        <f t="shared" si="9"/>
        <v>51</v>
      </c>
      <c r="P310" s="36">
        <f t="shared" si="10"/>
        <v>76</v>
      </c>
    </row>
    <row r="311" ht="15.75" customHeight="1">
      <c r="B311" s="29" t="s">
        <v>833</v>
      </c>
      <c r="C311" s="50" t="s">
        <v>51</v>
      </c>
      <c r="D311" s="59" t="s">
        <v>862</v>
      </c>
      <c r="E311" s="239">
        <f t="shared" si="12"/>
        <v>6</v>
      </c>
      <c r="F311" s="250">
        <v>1.0</v>
      </c>
      <c r="G311" s="240" t="s">
        <v>48</v>
      </c>
      <c r="H311" s="29">
        <v>2023.0</v>
      </c>
      <c r="I311" s="29">
        <f t="shared" si="11"/>
        <v>2</v>
      </c>
      <c r="J311" s="36"/>
      <c r="K311" s="36">
        <f t="shared" si="5"/>
        <v>1</v>
      </c>
      <c r="L311" s="36">
        <f t="shared" si="6"/>
        <v>6</v>
      </c>
      <c r="M311" s="36">
        <f t="shared" si="7"/>
        <v>16</v>
      </c>
      <c r="N311" s="36">
        <f t="shared" si="8"/>
        <v>31</v>
      </c>
      <c r="O311" s="36">
        <f t="shared" si="9"/>
        <v>51</v>
      </c>
      <c r="P311" s="36">
        <f t="shared" si="10"/>
        <v>76</v>
      </c>
    </row>
    <row r="312" ht="15.75" customHeight="1">
      <c r="B312" s="29" t="s">
        <v>833</v>
      </c>
      <c r="C312" s="29" t="s">
        <v>51</v>
      </c>
      <c r="D312" s="59" t="s">
        <v>366</v>
      </c>
      <c r="E312" s="239" t="str">
        <f t="shared" si="12"/>
        <v>Free Agent</v>
      </c>
      <c r="F312" s="250"/>
      <c r="G312" s="240" t="s">
        <v>765</v>
      </c>
      <c r="H312" s="29"/>
      <c r="I312" s="29">
        <f t="shared" si="11"/>
        <v>2025</v>
      </c>
      <c r="J312" s="36"/>
      <c r="K312" s="36">
        <f t="shared" si="5"/>
        <v>1</v>
      </c>
      <c r="L312" s="36">
        <f t="shared" si="6"/>
        <v>6</v>
      </c>
      <c r="M312" s="36">
        <f t="shared" si="7"/>
        <v>16</v>
      </c>
      <c r="N312" s="36">
        <f t="shared" si="8"/>
        <v>31</v>
      </c>
      <c r="O312" s="36">
        <f t="shared" si="9"/>
        <v>51</v>
      </c>
      <c r="P312" s="36">
        <f t="shared" si="10"/>
        <v>76</v>
      </c>
    </row>
    <row r="313" ht="15.75" customHeight="1">
      <c r="B313" s="29" t="s">
        <v>833</v>
      </c>
      <c r="C313" s="29" t="s">
        <v>51</v>
      </c>
      <c r="D313" s="59" t="s">
        <v>863</v>
      </c>
      <c r="E313" s="239" t="str">
        <f t="shared" si="12"/>
        <v>Free Agent</v>
      </c>
      <c r="F313" s="36"/>
      <c r="G313" s="240" t="s">
        <v>765</v>
      </c>
      <c r="H313" s="29"/>
      <c r="I313" s="265">
        <f t="shared" si="11"/>
        <v>2025</v>
      </c>
      <c r="J313" s="36"/>
      <c r="K313" s="36">
        <f t="shared" si="5"/>
        <v>1</v>
      </c>
      <c r="L313" s="36">
        <f t="shared" si="6"/>
        <v>6</v>
      </c>
      <c r="M313" s="36">
        <f t="shared" si="7"/>
        <v>16</v>
      </c>
      <c r="N313" s="36">
        <f t="shared" si="8"/>
        <v>31</v>
      </c>
      <c r="O313" s="36">
        <f t="shared" si="9"/>
        <v>51</v>
      </c>
      <c r="P313" s="36">
        <f t="shared" si="10"/>
        <v>76</v>
      </c>
    </row>
    <row r="314" ht="15.75" customHeight="1">
      <c r="B314" s="29" t="s">
        <v>833</v>
      </c>
      <c r="C314" s="29" t="s">
        <v>51</v>
      </c>
      <c r="D314" s="59" t="s">
        <v>864</v>
      </c>
      <c r="E314" s="239" t="str">
        <f t="shared" si="12"/>
        <v>Free Agent</v>
      </c>
      <c r="F314" s="250"/>
      <c r="G314" s="240" t="s">
        <v>765</v>
      </c>
      <c r="H314" s="29"/>
      <c r="I314" s="266">
        <f t="shared" si="11"/>
        <v>2025</v>
      </c>
      <c r="J314" s="36"/>
      <c r="K314" s="36">
        <f t="shared" si="5"/>
        <v>1</v>
      </c>
      <c r="L314" s="36">
        <f t="shared" si="6"/>
        <v>6</v>
      </c>
      <c r="M314" s="36">
        <f t="shared" si="7"/>
        <v>16</v>
      </c>
      <c r="N314" s="36">
        <f t="shared" si="8"/>
        <v>31</v>
      </c>
      <c r="O314" s="36">
        <f t="shared" si="9"/>
        <v>51</v>
      </c>
      <c r="P314" s="36">
        <f t="shared" si="10"/>
        <v>76</v>
      </c>
    </row>
    <row r="315" ht="15.75" customHeight="1">
      <c r="B315" s="29" t="s">
        <v>833</v>
      </c>
      <c r="C315" s="29" t="s">
        <v>51</v>
      </c>
      <c r="D315" s="59" t="s">
        <v>865</v>
      </c>
      <c r="E315" s="239" t="str">
        <f t="shared" si="12"/>
        <v>Free Agent</v>
      </c>
      <c r="F315" s="250"/>
      <c r="G315" s="240" t="s">
        <v>765</v>
      </c>
      <c r="H315" s="29"/>
      <c r="I315" s="266">
        <f t="shared" si="11"/>
        <v>2025</v>
      </c>
      <c r="J315" s="36"/>
      <c r="K315" s="36">
        <f t="shared" si="5"/>
        <v>1</v>
      </c>
      <c r="L315" s="36">
        <f t="shared" si="6"/>
        <v>6</v>
      </c>
      <c r="M315" s="36">
        <f t="shared" si="7"/>
        <v>16</v>
      </c>
      <c r="N315" s="36">
        <f t="shared" si="8"/>
        <v>31</v>
      </c>
      <c r="O315" s="36">
        <f t="shared" si="9"/>
        <v>51</v>
      </c>
      <c r="P315" s="36">
        <f t="shared" si="10"/>
        <v>76</v>
      </c>
    </row>
    <row r="316" ht="15.75" customHeight="1">
      <c r="B316" s="29" t="s">
        <v>833</v>
      </c>
      <c r="C316" s="29" t="s">
        <v>51</v>
      </c>
      <c r="D316" s="264" t="s">
        <v>866</v>
      </c>
      <c r="E316" s="239" t="str">
        <f t="shared" si="12"/>
        <v>Free Agent</v>
      </c>
      <c r="F316" s="250"/>
      <c r="G316" s="240" t="s">
        <v>765</v>
      </c>
      <c r="H316" s="29"/>
      <c r="I316" s="266">
        <f t="shared" si="11"/>
        <v>2025</v>
      </c>
      <c r="J316" s="36"/>
      <c r="K316" s="36">
        <f t="shared" si="5"/>
        <v>1</v>
      </c>
      <c r="L316" s="36">
        <f t="shared" si="6"/>
        <v>6</v>
      </c>
      <c r="M316" s="36">
        <f t="shared" si="7"/>
        <v>16</v>
      </c>
      <c r="N316" s="36">
        <f t="shared" si="8"/>
        <v>31</v>
      </c>
      <c r="O316" s="36">
        <f t="shared" si="9"/>
        <v>51</v>
      </c>
      <c r="P316" s="36">
        <f t="shared" si="10"/>
        <v>76</v>
      </c>
    </row>
    <row r="317" ht="15.75" customHeight="1">
      <c r="B317" s="29" t="s">
        <v>833</v>
      </c>
      <c r="C317" s="29" t="s">
        <v>51</v>
      </c>
      <c r="D317" s="264" t="s">
        <v>867</v>
      </c>
      <c r="E317" s="239" t="str">
        <f t="shared" si="12"/>
        <v>Free Agent</v>
      </c>
      <c r="F317" s="240"/>
      <c r="G317" s="240" t="s">
        <v>765</v>
      </c>
      <c r="H317" s="29"/>
      <c r="I317" s="265">
        <f t="shared" si="11"/>
        <v>2025</v>
      </c>
      <c r="J317" s="36"/>
      <c r="K317" s="36">
        <f t="shared" si="5"/>
        <v>1</v>
      </c>
      <c r="L317" s="36">
        <f t="shared" si="6"/>
        <v>6</v>
      </c>
      <c r="M317" s="36">
        <f t="shared" si="7"/>
        <v>16</v>
      </c>
      <c r="N317" s="36">
        <f t="shared" si="8"/>
        <v>31</v>
      </c>
      <c r="O317" s="36">
        <f t="shared" si="9"/>
        <v>51</v>
      </c>
      <c r="P317" s="36">
        <f t="shared" si="10"/>
        <v>76</v>
      </c>
    </row>
    <row r="318" ht="15.75" customHeight="1">
      <c r="B318" s="29" t="s">
        <v>833</v>
      </c>
      <c r="C318" s="29" t="s">
        <v>51</v>
      </c>
      <c r="D318" s="59" t="s">
        <v>868</v>
      </c>
      <c r="E318" s="239" t="str">
        <f t="shared" si="12"/>
        <v>Free Agent</v>
      </c>
      <c r="F318" s="240"/>
      <c r="G318" s="240" t="s">
        <v>765</v>
      </c>
      <c r="H318" s="29"/>
      <c r="I318" s="265">
        <f t="shared" si="11"/>
        <v>2025</v>
      </c>
      <c r="J318" s="36"/>
      <c r="K318" s="36">
        <f t="shared" si="5"/>
        <v>1</v>
      </c>
      <c r="L318" s="36">
        <f t="shared" si="6"/>
        <v>6</v>
      </c>
      <c r="M318" s="36">
        <f t="shared" si="7"/>
        <v>16</v>
      </c>
      <c r="N318" s="36">
        <f t="shared" si="8"/>
        <v>31</v>
      </c>
      <c r="O318" s="36">
        <f t="shared" si="9"/>
        <v>51</v>
      </c>
      <c r="P318" s="36">
        <f t="shared" si="10"/>
        <v>76</v>
      </c>
    </row>
    <row r="319" ht="15.75" customHeight="1">
      <c r="B319" s="29" t="s">
        <v>833</v>
      </c>
      <c r="C319" s="29" t="s">
        <v>51</v>
      </c>
      <c r="D319" s="59" t="s">
        <v>869</v>
      </c>
      <c r="E319" s="239" t="str">
        <f t="shared" si="12"/>
        <v>Free Agent</v>
      </c>
      <c r="F319" s="250"/>
      <c r="G319" s="240" t="s">
        <v>765</v>
      </c>
      <c r="H319" s="29"/>
      <c r="I319" s="266">
        <f t="shared" si="11"/>
        <v>2025</v>
      </c>
      <c r="J319" s="36"/>
      <c r="K319" s="36">
        <f t="shared" si="5"/>
        <v>1</v>
      </c>
      <c r="L319" s="36">
        <f t="shared" si="6"/>
        <v>6</v>
      </c>
      <c r="M319" s="36">
        <f t="shared" si="7"/>
        <v>16</v>
      </c>
      <c r="N319" s="36">
        <f t="shared" si="8"/>
        <v>31</v>
      </c>
      <c r="O319" s="36">
        <f t="shared" si="9"/>
        <v>51</v>
      </c>
      <c r="P319" s="36">
        <f t="shared" si="10"/>
        <v>76</v>
      </c>
    </row>
    <row r="320" ht="15.75" customHeight="1">
      <c r="B320" s="29" t="s">
        <v>833</v>
      </c>
      <c r="C320" s="29" t="s">
        <v>51</v>
      </c>
      <c r="D320" s="59" t="s">
        <v>870</v>
      </c>
      <c r="E320" s="239" t="str">
        <f t="shared" si="12"/>
        <v>Free Agent</v>
      </c>
      <c r="F320" s="250"/>
      <c r="G320" s="240" t="s">
        <v>765</v>
      </c>
      <c r="H320" s="29"/>
      <c r="I320" s="266">
        <f t="shared" si="11"/>
        <v>2025</v>
      </c>
      <c r="J320" s="36"/>
      <c r="K320" s="36">
        <f t="shared" si="5"/>
        <v>1</v>
      </c>
      <c r="L320" s="36">
        <f t="shared" si="6"/>
        <v>6</v>
      </c>
      <c r="M320" s="36">
        <f t="shared" si="7"/>
        <v>16</v>
      </c>
      <c r="N320" s="36">
        <f t="shared" si="8"/>
        <v>31</v>
      </c>
      <c r="O320" s="36">
        <f t="shared" si="9"/>
        <v>51</v>
      </c>
      <c r="P320" s="36">
        <f t="shared" si="10"/>
        <v>76</v>
      </c>
    </row>
    <row r="321" ht="15.75" customHeight="1">
      <c r="B321" s="29" t="s">
        <v>833</v>
      </c>
      <c r="C321" s="29" t="s">
        <v>51</v>
      </c>
      <c r="D321" s="59" t="s">
        <v>871</v>
      </c>
      <c r="E321" s="239" t="str">
        <f t="shared" si="12"/>
        <v>Free Agent</v>
      </c>
      <c r="F321" s="257"/>
      <c r="G321" s="240" t="s">
        <v>765</v>
      </c>
      <c r="H321" s="29"/>
      <c r="I321" s="266">
        <f t="shared" si="11"/>
        <v>2025</v>
      </c>
      <c r="J321" s="36"/>
      <c r="K321" s="36">
        <f t="shared" si="5"/>
        <v>1</v>
      </c>
      <c r="L321" s="36">
        <f t="shared" si="6"/>
        <v>6</v>
      </c>
      <c r="M321" s="36">
        <f t="shared" si="7"/>
        <v>16</v>
      </c>
      <c r="N321" s="36">
        <f t="shared" si="8"/>
        <v>31</v>
      </c>
      <c r="O321" s="36">
        <f t="shared" si="9"/>
        <v>51</v>
      </c>
      <c r="P321" s="36">
        <f t="shared" si="10"/>
        <v>76</v>
      </c>
    </row>
    <row r="322" ht="15.75" customHeight="1">
      <c r="B322" s="29" t="s">
        <v>833</v>
      </c>
      <c r="C322" s="29" t="s">
        <v>51</v>
      </c>
      <c r="D322" s="59" t="s">
        <v>872</v>
      </c>
      <c r="E322" s="239" t="str">
        <f t="shared" si="12"/>
        <v>Free Agent</v>
      </c>
      <c r="F322" s="36"/>
      <c r="G322" s="240" t="s">
        <v>765</v>
      </c>
      <c r="H322" s="29"/>
      <c r="I322" s="265">
        <f t="shared" si="11"/>
        <v>2025</v>
      </c>
      <c r="J322" s="36"/>
      <c r="K322" s="36">
        <f t="shared" si="5"/>
        <v>1</v>
      </c>
      <c r="L322" s="36">
        <f t="shared" si="6"/>
        <v>6</v>
      </c>
      <c r="M322" s="36">
        <f t="shared" si="7"/>
        <v>16</v>
      </c>
      <c r="N322" s="36">
        <f t="shared" si="8"/>
        <v>31</v>
      </c>
      <c r="O322" s="36">
        <f t="shared" si="9"/>
        <v>51</v>
      </c>
      <c r="P322" s="36">
        <f t="shared" si="10"/>
        <v>76</v>
      </c>
    </row>
    <row r="323" ht="15.75" customHeight="1">
      <c r="B323" s="29" t="s">
        <v>833</v>
      </c>
      <c r="C323" s="29" t="s">
        <v>51</v>
      </c>
      <c r="D323" s="264" t="s">
        <v>873</v>
      </c>
      <c r="E323" s="239" t="str">
        <f t="shared" si="12"/>
        <v>Free Agent</v>
      </c>
      <c r="F323" s="250"/>
      <c r="G323" s="240" t="s">
        <v>765</v>
      </c>
      <c r="H323" s="29"/>
      <c r="I323" s="266">
        <f t="shared" si="11"/>
        <v>2025</v>
      </c>
      <c r="J323" s="36"/>
      <c r="K323" s="36">
        <f t="shared" si="5"/>
        <v>1</v>
      </c>
      <c r="L323" s="36">
        <f t="shared" si="6"/>
        <v>6</v>
      </c>
      <c r="M323" s="36">
        <f t="shared" si="7"/>
        <v>16</v>
      </c>
      <c r="N323" s="36">
        <f t="shared" si="8"/>
        <v>31</v>
      </c>
      <c r="O323" s="36">
        <f t="shared" si="9"/>
        <v>51</v>
      </c>
      <c r="P323" s="36">
        <f t="shared" si="10"/>
        <v>76</v>
      </c>
    </row>
    <row r="324" ht="15.75" customHeight="1">
      <c r="B324" s="29" t="s">
        <v>833</v>
      </c>
      <c r="C324" s="29" t="s">
        <v>51</v>
      </c>
      <c r="D324" s="59" t="s">
        <v>874</v>
      </c>
      <c r="E324" s="239" t="str">
        <f t="shared" si="12"/>
        <v>Free Agent</v>
      </c>
      <c r="F324" s="258"/>
      <c r="G324" s="240" t="s">
        <v>765</v>
      </c>
      <c r="H324" s="29"/>
      <c r="I324" s="266">
        <f t="shared" si="11"/>
        <v>2025</v>
      </c>
      <c r="J324" s="36"/>
      <c r="K324" s="36">
        <f t="shared" si="5"/>
        <v>1</v>
      </c>
      <c r="L324" s="36">
        <f t="shared" si="6"/>
        <v>6</v>
      </c>
      <c r="M324" s="36">
        <f t="shared" si="7"/>
        <v>16</v>
      </c>
      <c r="N324" s="36">
        <f t="shared" si="8"/>
        <v>31</v>
      </c>
      <c r="O324" s="36">
        <f t="shared" si="9"/>
        <v>51</v>
      </c>
      <c r="P324" s="36">
        <f t="shared" si="10"/>
        <v>76</v>
      </c>
    </row>
    <row r="325" ht="15.75" customHeight="1">
      <c r="B325" s="29" t="s">
        <v>833</v>
      </c>
      <c r="C325" s="29" t="s">
        <v>51</v>
      </c>
      <c r="D325" s="264" t="s">
        <v>875</v>
      </c>
      <c r="E325" s="239" t="str">
        <f t="shared" si="12"/>
        <v>Free Agent</v>
      </c>
      <c r="F325" s="250"/>
      <c r="G325" s="240" t="s">
        <v>765</v>
      </c>
      <c r="H325" s="29"/>
      <c r="I325" s="266">
        <f t="shared" si="11"/>
        <v>2025</v>
      </c>
      <c r="J325" s="36"/>
      <c r="K325" s="36">
        <f t="shared" si="5"/>
        <v>1</v>
      </c>
      <c r="L325" s="36">
        <f t="shared" si="6"/>
        <v>6</v>
      </c>
      <c r="M325" s="36">
        <f t="shared" si="7"/>
        <v>16</v>
      </c>
      <c r="N325" s="36">
        <f t="shared" si="8"/>
        <v>31</v>
      </c>
      <c r="O325" s="36">
        <f t="shared" si="9"/>
        <v>51</v>
      </c>
      <c r="P325" s="36">
        <f t="shared" si="10"/>
        <v>76</v>
      </c>
    </row>
    <row r="326" ht="15.75" customHeight="1">
      <c r="B326" s="29" t="s">
        <v>833</v>
      </c>
      <c r="C326" s="29" t="s">
        <v>51</v>
      </c>
      <c r="D326" s="59" t="s">
        <v>876</v>
      </c>
      <c r="E326" s="239" t="str">
        <f t="shared" si="12"/>
        <v>Free Agent</v>
      </c>
      <c r="F326" s="250"/>
      <c r="G326" s="240" t="s">
        <v>765</v>
      </c>
      <c r="H326" s="29"/>
      <c r="I326" s="266">
        <f t="shared" si="11"/>
        <v>2025</v>
      </c>
      <c r="J326" s="36"/>
      <c r="K326" s="36">
        <f t="shared" si="5"/>
        <v>1</v>
      </c>
      <c r="L326" s="36">
        <f t="shared" si="6"/>
        <v>6</v>
      </c>
      <c r="M326" s="36">
        <f t="shared" si="7"/>
        <v>16</v>
      </c>
      <c r="N326" s="36">
        <f t="shared" si="8"/>
        <v>31</v>
      </c>
      <c r="O326" s="36">
        <f t="shared" si="9"/>
        <v>51</v>
      </c>
      <c r="P326" s="36">
        <f t="shared" si="10"/>
        <v>76</v>
      </c>
    </row>
    <row r="327" ht="15.75" customHeight="1">
      <c r="B327" s="29" t="s">
        <v>833</v>
      </c>
      <c r="C327" s="29" t="s">
        <v>51</v>
      </c>
      <c r="D327" s="59" t="s">
        <v>877</v>
      </c>
      <c r="E327" s="239" t="str">
        <f t="shared" si="12"/>
        <v>Free Agent</v>
      </c>
      <c r="F327" s="250"/>
      <c r="G327" s="240" t="s">
        <v>765</v>
      </c>
      <c r="H327" s="29"/>
      <c r="I327" s="266">
        <f t="shared" si="11"/>
        <v>2025</v>
      </c>
      <c r="J327" s="36"/>
      <c r="K327" s="36">
        <f t="shared" si="5"/>
        <v>1</v>
      </c>
      <c r="L327" s="36">
        <f t="shared" si="6"/>
        <v>6</v>
      </c>
      <c r="M327" s="36">
        <f t="shared" si="7"/>
        <v>16</v>
      </c>
      <c r="N327" s="36">
        <f t="shared" si="8"/>
        <v>31</v>
      </c>
      <c r="O327" s="36">
        <f t="shared" si="9"/>
        <v>51</v>
      </c>
      <c r="P327" s="36">
        <f t="shared" si="10"/>
        <v>76</v>
      </c>
    </row>
    <row r="328" ht="15.75" customHeight="1">
      <c r="B328" s="29" t="s">
        <v>833</v>
      </c>
      <c r="C328" s="29" t="s">
        <v>51</v>
      </c>
      <c r="D328" s="59" t="s">
        <v>878</v>
      </c>
      <c r="E328" s="239" t="str">
        <f t="shared" si="12"/>
        <v>Free Agent</v>
      </c>
      <c r="F328" s="250"/>
      <c r="G328" s="240" t="s">
        <v>765</v>
      </c>
      <c r="H328" s="29"/>
      <c r="I328" s="266">
        <f t="shared" si="11"/>
        <v>2025</v>
      </c>
      <c r="J328" s="36"/>
      <c r="K328" s="36">
        <f t="shared" si="5"/>
        <v>1</v>
      </c>
      <c r="L328" s="36">
        <f t="shared" si="6"/>
        <v>6</v>
      </c>
      <c r="M328" s="36">
        <f t="shared" si="7"/>
        <v>16</v>
      </c>
      <c r="N328" s="36">
        <f t="shared" si="8"/>
        <v>31</v>
      </c>
      <c r="O328" s="36">
        <f t="shared" si="9"/>
        <v>51</v>
      </c>
      <c r="P328" s="36">
        <f t="shared" si="10"/>
        <v>76</v>
      </c>
    </row>
    <row r="329" ht="15.75" customHeight="1">
      <c r="B329" s="29" t="s">
        <v>833</v>
      </c>
      <c r="C329" s="50" t="s">
        <v>51</v>
      </c>
      <c r="D329" s="59" t="s">
        <v>879</v>
      </c>
      <c r="E329" s="239" t="str">
        <f t="shared" si="12"/>
        <v>Free Agent</v>
      </c>
      <c r="F329" s="257"/>
      <c r="G329" s="240" t="s">
        <v>765</v>
      </c>
      <c r="H329" s="29"/>
      <c r="I329" s="266">
        <f t="shared" si="11"/>
        <v>2025</v>
      </c>
      <c r="J329" s="36"/>
      <c r="K329" s="36">
        <f t="shared" si="5"/>
        <v>1</v>
      </c>
      <c r="L329" s="36">
        <f t="shared" si="6"/>
        <v>6</v>
      </c>
      <c r="M329" s="36">
        <f t="shared" si="7"/>
        <v>16</v>
      </c>
      <c r="N329" s="36">
        <f t="shared" si="8"/>
        <v>31</v>
      </c>
      <c r="O329" s="36">
        <f t="shared" si="9"/>
        <v>51</v>
      </c>
      <c r="P329" s="36">
        <f t="shared" si="10"/>
        <v>76</v>
      </c>
    </row>
    <row r="330" ht="15.75" customHeight="1">
      <c r="B330" s="29" t="s">
        <v>833</v>
      </c>
      <c r="C330" s="29" t="s">
        <v>51</v>
      </c>
      <c r="D330" s="59" t="s">
        <v>880</v>
      </c>
      <c r="E330" s="239" t="str">
        <f t="shared" si="12"/>
        <v>Free Agent</v>
      </c>
      <c r="F330" s="36"/>
      <c r="G330" s="240" t="s">
        <v>765</v>
      </c>
      <c r="H330" s="29"/>
      <c r="I330" s="265">
        <f t="shared" si="11"/>
        <v>2025</v>
      </c>
      <c r="J330" s="36"/>
      <c r="K330" s="36">
        <f t="shared" si="5"/>
        <v>1</v>
      </c>
      <c r="L330" s="36">
        <f t="shared" si="6"/>
        <v>6</v>
      </c>
      <c r="M330" s="36">
        <f t="shared" si="7"/>
        <v>16</v>
      </c>
      <c r="N330" s="36">
        <f t="shared" si="8"/>
        <v>31</v>
      </c>
      <c r="O330" s="36">
        <f t="shared" si="9"/>
        <v>51</v>
      </c>
      <c r="P330" s="36">
        <f t="shared" si="10"/>
        <v>76</v>
      </c>
    </row>
    <row r="331" ht="15.75" customHeight="1">
      <c r="B331" s="29" t="s">
        <v>833</v>
      </c>
      <c r="C331" s="29" t="s">
        <v>51</v>
      </c>
      <c r="D331" s="59" t="s">
        <v>881</v>
      </c>
      <c r="E331" s="239" t="str">
        <f t="shared" si="12"/>
        <v>Free Agent</v>
      </c>
      <c r="F331" s="258"/>
      <c r="G331" s="240" t="s">
        <v>765</v>
      </c>
      <c r="H331" s="29"/>
      <c r="I331" s="266">
        <f t="shared" si="11"/>
        <v>2025</v>
      </c>
      <c r="J331" s="36"/>
      <c r="K331" s="36">
        <f t="shared" si="5"/>
        <v>1</v>
      </c>
      <c r="L331" s="36">
        <f t="shared" si="6"/>
        <v>6</v>
      </c>
      <c r="M331" s="36">
        <f t="shared" si="7"/>
        <v>16</v>
      </c>
      <c r="N331" s="36">
        <f t="shared" si="8"/>
        <v>31</v>
      </c>
      <c r="O331" s="36">
        <f t="shared" si="9"/>
        <v>51</v>
      </c>
      <c r="P331" s="36">
        <f t="shared" si="10"/>
        <v>76</v>
      </c>
    </row>
    <row r="332" ht="15.75" customHeight="1">
      <c r="B332" s="29" t="s">
        <v>833</v>
      </c>
      <c r="C332" s="29" t="s">
        <v>51</v>
      </c>
      <c r="D332" s="59" t="s">
        <v>384</v>
      </c>
      <c r="E332" s="239" t="str">
        <f t="shared" si="12"/>
        <v>Free Agent</v>
      </c>
      <c r="F332" s="250"/>
      <c r="G332" s="240" t="s">
        <v>765</v>
      </c>
      <c r="H332" s="29"/>
      <c r="I332" s="266">
        <f t="shared" si="11"/>
        <v>2025</v>
      </c>
      <c r="J332" s="36"/>
      <c r="K332" s="36">
        <f t="shared" si="5"/>
        <v>1</v>
      </c>
      <c r="L332" s="36">
        <f t="shared" si="6"/>
        <v>6</v>
      </c>
      <c r="M332" s="36">
        <f t="shared" si="7"/>
        <v>16</v>
      </c>
      <c r="N332" s="36">
        <f t="shared" si="8"/>
        <v>31</v>
      </c>
      <c r="O332" s="36">
        <f t="shared" si="9"/>
        <v>51</v>
      </c>
      <c r="P332" s="36">
        <f t="shared" si="10"/>
        <v>76</v>
      </c>
    </row>
    <row r="333" ht="15.75" customHeight="1">
      <c r="B333" s="29" t="s">
        <v>833</v>
      </c>
      <c r="C333" s="29" t="s">
        <v>51</v>
      </c>
      <c r="D333" s="59" t="s">
        <v>824</v>
      </c>
      <c r="E333" s="239" t="str">
        <f t="shared" si="12"/>
        <v>Free Agent</v>
      </c>
      <c r="F333" s="36"/>
      <c r="G333" s="240" t="s">
        <v>765</v>
      </c>
      <c r="H333" s="29"/>
      <c r="I333" s="266">
        <f t="shared" si="11"/>
        <v>2025</v>
      </c>
      <c r="J333" s="36"/>
      <c r="K333" s="36">
        <f t="shared" si="5"/>
        <v>1</v>
      </c>
      <c r="L333" s="36">
        <f t="shared" si="6"/>
        <v>6</v>
      </c>
      <c r="M333" s="36">
        <f t="shared" si="7"/>
        <v>16</v>
      </c>
      <c r="N333" s="36">
        <f t="shared" si="8"/>
        <v>31</v>
      </c>
      <c r="O333" s="36">
        <f t="shared" si="9"/>
        <v>51</v>
      </c>
      <c r="P333" s="36">
        <f t="shared" si="10"/>
        <v>76</v>
      </c>
    </row>
    <row r="334" ht="15.75" customHeight="1">
      <c r="B334" s="29" t="s">
        <v>833</v>
      </c>
      <c r="C334" s="29" t="s">
        <v>51</v>
      </c>
      <c r="D334" s="59" t="s">
        <v>882</v>
      </c>
      <c r="E334" s="239" t="str">
        <f t="shared" si="12"/>
        <v>Free Agent</v>
      </c>
      <c r="F334" s="240"/>
      <c r="G334" s="240" t="s">
        <v>765</v>
      </c>
      <c r="H334" s="29"/>
      <c r="I334" s="265">
        <f t="shared" si="11"/>
        <v>2025</v>
      </c>
      <c r="J334" s="36"/>
      <c r="K334" s="36">
        <f t="shared" si="5"/>
        <v>1</v>
      </c>
      <c r="L334" s="36">
        <f t="shared" si="6"/>
        <v>6</v>
      </c>
      <c r="M334" s="36">
        <f t="shared" si="7"/>
        <v>16</v>
      </c>
      <c r="N334" s="36">
        <f t="shared" si="8"/>
        <v>31</v>
      </c>
      <c r="O334" s="36">
        <f t="shared" si="9"/>
        <v>51</v>
      </c>
      <c r="P334" s="36">
        <f t="shared" si="10"/>
        <v>76</v>
      </c>
    </row>
    <row r="335" ht="15.75" customHeight="1">
      <c r="B335" s="29" t="s">
        <v>833</v>
      </c>
      <c r="C335" s="29" t="s">
        <v>51</v>
      </c>
      <c r="D335" s="59" t="s">
        <v>883</v>
      </c>
      <c r="E335" s="239" t="str">
        <f t="shared" si="12"/>
        <v>Free Agent</v>
      </c>
      <c r="F335" s="250"/>
      <c r="G335" s="240" t="s">
        <v>765</v>
      </c>
      <c r="H335" s="29"/>
      <c r="I335" s="266">
        <f t="shared" si="11"/>
        <v>2025</v>
      </c>
      <c r="J335" s="36"/>
      <c r="K335" s="36">
        <f t="shared" si="5"/>
        <v>1</v>
      </c>
      <c r="L335" s="36">
        <f t="shared" si="6"/>
        <v>6</v>
      </c>
      <c r="M335" s="36">
        <f t="shared" si="7"/>
        <v>16</v>
      </c>
      <c r="N335" s="36">
        <f t="shared" si="8"/>
        <v>31</v>
      </c>
      <c r="O335" s="36">
        <f t="shared" si="9"/>
        <v>51</v>
      </c>
      <c r="P335" s="36">
        <f t="shared" si="10"/>
        <v>76</v>
      </c>
    </row>
    <row r="336" ht="15.75" customHeight="1">
      <c r="B336" s="29" t="s">
        <v>833</v>
      </c>
      <c r="C336" s="29" t="s">
        <v>51</v>
      </c>
      <c r="D336" s="59" t="s">
        <v>884</v>
      </c>
      <c r="E336" s="239" t="str">
        <f t="shared" si="12"/>
        <v>Free Agent</v>
      </c>
      <c r="F336" s="240"/>
      <c r="G336" s="240" t="s">
        <v>765</v>
      </c>
      <c r="H336" s="29"/>
      <c r="I336" s="265">
        <f t="shared" si="11"/>
        <v>2025</v>
      </c>
      <c r="J336" s="36"/>
      <c r="K336" s="36">
        <f t="shared" si="5"/>
        <v>1</v>
      </c>
      <c r="L336" s="36">
        <f t="shared" si="6"/>
        <v>6</v>
      </c>
      <c r="M336" s="36">
        <f t="shared" si="7"/>
        <v>16</v>
      </c>
      <c r="N336" s="36">
        <f t="shared" si="8"/>
        <v>31</v>
      </c>
      <c r="O336" s="36">
        <f t="shared" si="9"/>
        <v>51</v>
      </c>
      <c r="P336" s="36">
        <f t="shared" si="10"/>
        <v>76</v>
      </c>
    </row>
    <row r="337" ht="15.75" customHeight="1">
      <c r="B337" s="29" t="s">
        <v>833</v>
      </c>
      <c r="C337" s="29" t="s">
        <v>51</v>
      </c>
      <c r="D337" s="59" t="s">
        <v>169</v>
      </c>
      <c r="E337" s="239" t="str">
        <f t="shared" si="12"/>
        <v>Free Agent</v>
      </c>
      <c r="F337" s="257"/>
      <c r="G337" s="240" t="s">
        <v>765</v>
      </c>
      <c r="H337" s="29"/>
      <c r="I337" s="266">
        <f t="shared" si="11"/>
        <v>2025</v>
      </c>
      <c r="J337" s="36"/>
      <c r="K337" s="36">
        <f t="shared" si="5"/>
        <v>1</v>
      </c>
      <c r="L337" s="36">
        <f t="shared" si="6"/>
        <v>6</v>
      </c>
      <c r="M337" s="36">
        <f t="shared" si="7"/>
        <v>16</v>
      </c>
      <c r="N337" s="36">
        <f t="shared" si="8"/>
        <v>31</v>
      </c>
      <c r="O337" s="36">
        <f t="shared" si="9"/>
        <v>51</v>
      </c>
      <c r="P337" s="36">
        <f t="shared" si="10"/>
        <v>76</v>
      </c>
    </row>
    <row r="338" ht="15.75" customHeight="1">
      <c r="B338" s="29" t="s">
        <v>833</v>
      </c>
      <c r="C338" s="29" t="s">
        <v>51</v>
      </c>
      <c r="D338" s="59" t="s">
        <v>885</v>
      </c>
      <c r="E338" s="239" t="str">
        <f t="shared" si="12"/>
        <v>Free Agent</v>
      </c>
      <c r="F338" s="240"/>
      <c r="G338" s="240" t="s">
        <v>765</v>
      </c>
      <c r="H338" s="29"/>
      <c r="I338" s="265">
        <f t="shared" si="11"/>
        <v>2025</v>
      </c>
      <c r="J338" s="36"/>
      <c r="K338" s="36">
        <f t="shared" si="5"/>
        <v>1</v>
      </c>
      <c r="L338" s="36">
        <f t="shared" si="6"/>
        <v>6</v>
      </c>
      <c r="M338" s="36">
        <f t="shared" si="7"/>
        <v>16</v>
      </c>
      <c r="N338" s="36">
        <f t="shared" si="8"/>
        <v>31</v>
      </c>
      <c r="O338" s="36">
        <f t="shared" si="9"/>
        <v>51</v>
      </c>
      <c r="P338" s="36">
        <f t="shared" si="10"/>
        <v>76</v>
      </c>
    </row>
    <row r="339" ht="15.75" customHeight="1">
      <c r="B339" s="29" t="s">
        <v>833</v>
      </c>
      <c r="C339" s="29" t="s">
        <v>51</v>
      </c>
      <c r="D339" s="264" t="s">
        <v>90</v>
      </c>
      <c r="E339" s="239" t="str">
        <f t="shared" si="12"/>
        <v>Free Agent</v>
      </c>
      <c r="F339" s="240"/>
      <c r="G339" s="240" t="s">
        <v>765</v>
      </c>
      <c r="H339" s="29"/>
      <c r="I339" s="265">
        <f t="shared" si="11"/>
        <v>2025</v>
      </c>
      <c r="J339" s="36"/>
      <c r="K339" s="36">
        <f t="shared" si="5"/>
        <v>1</v>
      </c>
      <c r="L339" s="36">
        <f t="shared" si="6"/>
        <v>6</v>
      </c>
      <c r="M339" s="36">
        <f t="shared" si="7"/>
        <v>16</v>
      </c>
      <c r="N339" s="36">
        <f t="shared" si="8"/>
        <v>31</v>
      </c>
      <c r="O339" s="36">
        <f t="shared" si="9"/>
        <v>51</v>
      </c>
      <c r="P339" s="36">
        <f t="shared" si="10"/>
        <v>76</v>
      </c>
    </row>
    <row r="340" ht="15.75" customHeight="1">
      <c r="B340" s="29" t="s">
        <v>833</v>
      </c>
      <c r="C340" s="29" t="s">
        <v>51</v>
      </c>
      <c r="D340" s="59" t="s">
        <v>886</v>
      </c>
      <c r="E340" s="239" t="str">
        <f t="shared" si="12"/>
        <v>Free Agent</v>
      </c>
      <c r="F340" s="240"/>
      <c r="G340" s="240" t="s">
        <v>765</v>
      </c>
      <c r="H340" s="29"/>
      <c r="I340" s="265">
        <f t="shared" si="11"/>
        <v>2025</v>
      </c>
      <c r="J340" s="36"/>
      <c r="K340" s="36">
        <f t="shared" si="5"/>
        <v>1</v>
      </c>
      <c r="L340" s="36">
        <f t="shared" si="6"/>
        <v>6</v>
      </c>
      <c r="M340" s="36">
        <f t="shared" si="7"/>
        <v>16</v>
      </c>
      <c r="N340" s="36">
        <f t="shared" si="8"/>
        <v>31</v>
      </c>
      <c r="O340" s="36">
        <f t="shared" si="9"/>
        <v>51</v>
      </c>
      <c r="P340" s="36">
        <f t="shared" si="10"/>
        <v>76</v>
      </c>
    </row>
    <row r="341" ht="15.75" customHeight="1">
      <c r="B341" s="29" t="s">
        <v>833</v>
      </c>
      <c r="C341" s="29" t="s">
        <v>51</v>
      </c>
      <c r="D341" s="59" t="s">
        <v>141</v>
      </c>
      <c r="E341" s="239" t="str">
        <f t="shared" si="12"/>
        <v>Free Agent</v>
      </c>
      <c r="F341" s="240"/>
      <c r="G341" s="240" t="s">
        <v>765</v>
      </c>
      <c r="H341" s="29"/>
      <c r="I341" s="265">
        <f t="shared" si="11"/>
        <v>2025</v>
      </c>
      <c r="J341" s="36"/>
      <c r="K341" s="36">
        <f t="shared" si="5"/>
        <v>1</v>
      </c>
      <c r="L341" s="36">
        <f t="shared" si="6"/>
        <v>6</v>
      </c>
      <c r="M341" s="36">
        <f t="shared" si="7"/>
        <v>16</v>
      </c>
      <c r="N341" s="36">
        <f t="shared" si="8"/>
        <v>31</v>
      </c>
      <c r="O341" s="36">
        <f t="shared" si="9"/>
        <v>51</v>
      </c>
      <c r="P341" s="36">
        <f t="shared" si="10"/>
        <v>76</v>
      </c>
    </row>
    <row r="342" ht="15.75" customHeight="1">
      <c r="B342" s="29" t="s">
        <v>833</v>
      </c>
      <c r="C342" s="29" t="s">
        <v>51</v>
      </c>
      <c r="D342" s="264" t="s">
        <v>887</v>
      </c>
      <c r="E342" s="239" t="str">
        <f t="shared" si="12"/>
        <v>Free Agent</v>
      </c>
      <c r="F342" s="240"/>
      <c r="G342" s="240" t="s">
        <v>765</v>
      </c>
      <c r="H342" s="29"/>
      <c r="I342" s="265">
        <f t="shared" si="11"/>
        <v>2025</v>
      </c>
      <c r="J342" s="36"/>
      <c r="K342" s="36">
        <f t="shared" si="5"/>
        <v>1</v>
      </c>
      <c r="L342" s="36">
        <f t="shared" si="6"/>
        <v>6</v>
      </c>
      <c r="M342" s="36">
        <f t="shared" si="7"/>
        <v>16</v>
      </c>
      <c r="N342" s="36">
        <f t="shared" si="8"/>
        <v>31</v>
      </c>
      <c r="O342" s="36">
        <f t="shared" si="9"/>
        <v>51</v>
      </c>
      <c r="P342" s="36">
        <f t="shared" si="10"/>
        <v>76</v>
      </c>
    </row>
    <row r="343" ht="15.75" customHeight="1">
      <c r="B343" s="29" t="s">
        <v>833</v>
      </c>
      <c r="C343" s="29" t="s">
        <v>51</v>
      </c>
      <c r="D343" s="59" t="s">
        <v>888</v>
      </c>
      <c r="E343" s="239" t="str">
        <f t="shared" si="12"/>
        <v>Free Agent</v>
      </c>
      <c r="F343" s="240"/>
      <c r="G343" s="240" t="s">
        <v>765</v>
      </c>
      <c r="H343" s="29"/>
      <c r="I343" s="265">
        <f t="shared" si="11"/>
        <v>2025</v>
      </c>
      <c r="J343" s="36"/>
      <c r="K343" s="36">
        <f t="shared" si="5"/>
        <v>1</v>
      </c>
      <c r="L343" s="36">
        <f t="shared" si="6"/>
        <v>6</v>
      </c>
      <c r="M343" s="36">
        <f t="shared" si="7"/>
        <v>16</v>
      </c>
      <c r="N343" s="36">
        <f t="shared" si="8"/>
        <v>31</v>
      </c>
      <c r="O343" s="36">
        <f t="shared" si="9"/>
        <v>51</v>
      </c>
      <c r="P343" s="36">
        <f t="shared" si="10"/>
        <v>76</v>
      </c>
    </row>
    <row r="344" ht="15.75" customHeight="1">
      <c r="B344" s="29" t="s">
        <v>833</v>
      </c>
      <c r="C344" s="29" t="s">
        <v>51</v>
      </c>
      <c r="D344" s="59" t="s">
        <v>889</v>
      </c>
      <c r="E344" s="239" t="str">
        <f t="shared" si="12"/>
        <v>Free Agent</v>
      </c>
      <c r="F344" s="240"/>
      <c r="G344" s="240" t="s">
        <v>765</v>
      </c>
      <c r="H344" s="29"/>
      <c r="I344" s="265">
        <f t="shared" si="11"/>
        <v>2025</v>
      </c>
      <c r="J344" s="36"/>
      <c r="K344" s="36">
        <f t="shared" si="5"/>
        <v>1</v>
      </c>
      <c r="L344" s="36">
        <f t="shared" si="6"/>
        <v>6</v>
      </c>
      <c r="M344" s="36">
        <f t="shared" si="7"/>
        <v>16</v>
      </c>
      <c r="N344" s="36">
        <f t="shared" si="8"/>
        <v>31</v>
      </c>
      <c r="O344" s="36">
        <f t="shared" si="9"/>
        <v>51</v>
      </c>
      <c r="P344" s="36">
        <f t="shared" si="10"/>
        <v>76</v>
      </c>
    </row>
    <row r="345" ht="15.75" customHeight="1">
      <c r="B345" s="29" t="s">
        <v>833</v>
      </c>
      <c r="C345" s="29" t="s">
        <v>51</v>
      </c>
      <c r="D345" s="59" t="s">
        <v>890</v>
      </c>
      <c r="E345" s="239" t="str">
        <f t="shared" si="12"/>
        <v>Free Agent</v>
      </c>
      <c r="F345" s="36"/>
      <c r="G345" s="240" t="s">
        <v>765</v>
      </c>
      <c r="H345" s="29"/>
      <c r="I345" s="265">
        <f t="shared" si="11"/>
        <v>2025</v>
      </c>
      <c r="J345" s="36"/>
      <c r="K345" s="36">
        <f t="shared" si="5"/>
        <v>1</v>
      </c>
      <c r="L345" s="36">
        <f t="shared" si="6"/>
        <v>6</v>
      </c>
      <c r="M345" s="36">
        <f t="shared" si="7"/>
        <v>16</v>
      </c>
      <c r="N345" s="36">
        <f t="shared" si="8"/>
        <v>31</v>
      </c>
      <c r="O345" s="36">
        <f t="shared" si="9"/>
        <v>51</v>
      </c>
      <c r="P345" s="36">
        <f t="shared" si="10"/>
        <v>76</v>
      </c>
    </row>
    <row r="346" ht="15.75" customHeight="1">
      <c r="B346" s="29" t="s">
        <v>833</v>
      </c>
      <c r="C346" s="29" t="s">
        <v>51</v>
      </c>
      <c r="D346" s="59" t="s">
        <v>891</v>
      </c>
      <c r="E346" s="239" t="str">
        <f t="shared" si="12"/>
        <v>Free Agent</v>
      </c>
      <c r="F346" s="36"/>
      <c r="G346" s="240" t="s">
        <v>765</v>
      </c>
      <c r="H346" s="29"/>
      <c r="I346" s="265">
        <f t="shared" si="11"/>
        <v>2025</v>
      </c>
      <c r="J346" s="36"/>
      <c r="K346" s="36">
        <f t="shared" si="5"/>
        <v>1</v>
      </c>
      <c r="L346" s="36">
        <f t="shared" si="6"/>
        <v>6</v>
      </c>
      <c r="M346" s="36">
        <f t="shared" si="7"/>
        <v>16</v>
      </c>
      <c r="N346" s="36">
        <f t="shared" si="8"/>
        <v>31</v>
      </c>
      <c r="O346" s="36">
        <f t="shared" si="9"/>
        <v>51</v>
      </c>
      <c r="P346" s="36">
        <f t="shared" si="10"/>
        <v>76</v>
      </c>
    </row>
    <row r="347" ht="15.75" customHeight="1">
      <c r="B347" s="29" t="s">
        <v>833</v>
      </c>
      <c r="C347" s="29" t="s">
        <v>51</v>
      </c>
      <c r="D347" s="59" t="s">
        <v>892</v>
      </c>
      <c r="E347" s="239" t="str">
        <f t="shared" si="12"/>
        <v>Free Agent</v>
      </c>
      <c r="F347" s="240"/>
      <c r="G347" s="240" t="s">
        <v>765</v>
      </c>
      <c r="H347" s="29"/>
      <c r="I347" s="265">
        <f t="shared" si="11"/>
        <v>2025</v>
      </c>
      <c r="J347" s="36"/>
      <c r="K347" s="36">
        <f t="shared" si="5"/>
        <v>1</v>
      </c>
      <c r="L347" s="36">
        <f t="shared" si="6"/>
        <v>6</v>
      </c>
      <c r="M347" s="36">
        <f t="shared" si="7"/>
        <v>16</v>
      </c>
      <c r="N347" s="36">
        <f t="shared" si="8"/>
        <v>31</v>
      </c>
      <c r="O347" s="36">
        <f t="shared" si="9"/>
        <v>51</v>
      </c>
      <c r="P347" s="36">
        <f t="shared" si="10"/>
        <v>76</v>
      </c>
    </row>
    <row r="348" ht="15.75" customHeight="1">
      <c r="B348" s="29" t="s">
        <v>833</v>
      </c>
      <c r="C348" s="29" t="s">
        <v>51</v>
      </c>
      <c r="D348" s="59" t="s">
        <v>893</v>
      </c>
      <c r="E348" s="239" t="str">
        <f t="shared" si="12"/>
        <v>Free Agent</v>
      </c>
      <c r="F348" s="240"/>
      <c r="G348" s="240" t="s">
        <v>765</v>
      </c>
      <c r="H348" s="29"/>
      <c r="I348" s="265">
        <f t="shared" si="11"/>
        <v>2025</v>
      </c>
      <c r="J348" s="36"/>
      <c r="K348" s="36">
        <f t="shared" si="5"/>
        <v>1</v>
      </c>
      <c r="L348" s="36">
        <f t="shared" si="6"/>
        <v>6</v>
      </c>
      <c r="M348" s="36">
        <f t="shared" si="7"/>
        <v>16</v>
      </c>
      <c r="N348" s="36">
        <f t="shared" si="8"/>
        <v>31</v>
      </c>
      <c r="O348" s="36">
        <f t="shared" si="9"/>
        <v>51</v>
      </c>
      <c r="P348" s="36">
        <f t="shared" si="10"/>
        <v>76</v>
      </c>
    </row>
    <row r="349" ht="15.75" customHeight="1">
      <c r="B349" s="29" t="s">
        <v>833</v>
      </c>
      <c r="C349" s="29" t="s">
        <v>51</v>
      </c>
      <c r="D349" s="249" t="s">
        <v>894</v>
      </c>
      <c r="E349" s="239" t="str">
        <f t="shared" si="12"/>
        <v>Free Agent</v>
      </c>
      <c r="F349" s="240"/>
      <c r="G349" s="240" t="s">
        <v>765</v>
      </c>
      <c r="H349" s="29"/>
      <c r="I349" s="265">
        <f t="shared" si="11"/>
        <v>2025</v>
      </c>
      <c r="J349" s="36"/>
      <c r="K349" s="36">
        <f t="shared" si="5"/>
        <v>1</v>
      </c>
      <c r="L349" s="36">
        <f t="shared" si="6"/>
        <v>6</v>
      </c>
      <c r="M349" s="36">
        <f t="shared" si="7"/>
        <v>16</v>
      </c>
      <c r="N349" s="36">
        <f t="shared" si="8"/>
        <v>31</v>
      </c>
      <c r="O349" s="36">
        <f t="shared" si="9"/>
        <v>51</v>
      </c>
      <c r="P349" s="36">
        <f t="shared" si="10"/>
        <v>76</v>
      </c>
    </row>
    <row r="350" ht="15.75" customHeight="1">
      <c r="B350" s="29" t="s">
        <v>833</v>
      </c>
      <c r="C350" s="29" t="s">
        <v>51</v>
      </c>
      <c r="D350" s="249" t="s">
        <v>895</v>
      </c>
      <c r="E350" s="239" t="str">
        <f t="shared" si="12"/>
        <v>Free Agent</v>
      </c>
      <c r="F350" s="240"/>
      <c r="G350" s="240" t="s">
        <v>765</v>
      </c>
      <c r="H350" s="29"/>
      <c r="I350" s="265">
        <f t="shared" si="11"/>
        <v>2025</v>
      </c>
      <c r="J350" s="36"/>
      <c r="K350" s="36">
        <f t="shared" si="5"/>
        <v>1</v>
      </c>
      <c r="L350" s="36">
        <f t="shared" si="6"/>
        <v>6</v>
      </c>
      <c r="M350" s="36">
        <f t="shared" si="7"/>
        <v>16</v>
      </c>
      <c r="N350" s="36">
        <f t="shared" si="8"/>
        <v>31</v>
      </c>
      <c r="O350" s="36">
        <f t="shared" si="9"/>
        <v>51</v>
      </c>
      <c r="P350" s="36">
        <f t="shared" si="10"/>
        <v>76</v>
      </c>
    </row>
    <row r="351" ht="15.75" customHeight="1">
      <c r="B351" s="29" t="s">
        <v>833</v>
      </c>
      <c r="C351" s="29" t="s">
        <v>51</v>
      </c>
      <c r="D351" s="249" t="s">
        <v>896</v>
      </c>
      <c r="E351" s="239" t="str">
        <f t="shared" si="12"/>
        <v>Free Agent</v>
      </c>
      <c r="F351" s="240"/>
      <c r="G351" s="240" t="s">
        <v>765</v>
      </c>
      <c r="H351" s="29"/>
      <c r="I351" s="265">
        <f t="shared" si="11"/>
        <v>2025</v>
      </c>
      <c r="J351" s="36"/>
      <c r="K351" s="36">
        <f t="shared" si="5"/>
        <v>1</v>
      </c>
      <c r="L351" s="36">
        <f t="shared" si="6"/>
        <v>6</v>
      </c>
      <c r="M351" s="36">
        <f t="shared" si="7"/>
        <v>16</v>
      </c>
      <c r="N351" s="36">
        <f t="shared" si="8"/>
        <v>31</v>
      </c>
      <c r="O351" s="36">
        <f t="shared" si="9"/>
        <v>51</v>
      </c>
      <c r="P351" s="36">
        <f t="shared" si="10"/>
        <v>76</v>
      </c>
    </row>
    <row r="352" ht="15.75" customHeight="1">
      <c r="B352" s="29" t="s">
        <v>833</v>
      </c>
      <c r="C352" s="29" t="s">
        <v>51</v>
      </c>
      <c r="D352" s="59" t="s">
        <v>897</v>
      </c>
      <c r="E352" s="239" t="str">
        <f t="shared" si="12"/>
        <v>Free Agent</v>
      </c>
      <c r="F352" s="240"/>
      <c r="G352" s="240" t="s">
        <v>765</v>
      </c>
      <c r="H352" s="29"/>
      <c r="I352" s="265">
        <f t="shared" si="11"/>
        <v>2025</v>
      </c>
      <c r="J352" s="36"/>
      <c r="K352" s="36">
        <f t="shared" si="5"/>
        <v>1</v>
      </c>
      <c r="L352" s="36">
        <f t="shared" si="6"/>
        <v>6</v>
      </c>
      <c r="M352" s="36">
        <f t="shared" si="7"/>
        <v>16</v>
      </c>
      <c r="N352" s="36">
        <f t="shared" si="8"/>
        <v>31</v>
      </c>
      <c r="O352" s="36">
        <f t="shared" si="9"/>
        <v>51</v>
      </c>
      <c r="P352" s="36">
        <f t="shared" si="10"/>
        <v>76</v>
      </c>
    </row>
    <row r="353" ht="15.75" customHeight="1">
      <c r="B353" s="29" t="s">
        <v>833</v>
      </c>
      <c r="C353" s="29" t="s">
        <v>51</v>
      </c>
      <c r="D353" s="59" t="s">
        <v>898</v>
      </c>
      <c r="E353" s="239" t="str">
        <f t="shared" si="12"/>
        <v>Free Agent</v>
      </c>
      <c r="F353" s="36"/>
      <c r="G353" s="240" t="s">
        <v>765</v>
      </c>
      <c r="H353" s="29"/>
      <c r="I353" s="265">
        <f t="shared" si="11"/>
        <v>2025</v>
      </c>
      <c r="J353" s="36"/>
      <c r="K353" s="36">
        <f t="shared" si="5"/>
        <v>1</v>
      </c>
      <c r="L353" s="36">
        <f t="shared" si="6"/>
        <v>6</v>
      </c>
      <c r="M353" s="36">
        <f t="shared" si="7"/>
        <v>16</v>
      </c>
      <c r="N353" s="36">
        <f t="shared" si="8"/>
        <v>31</v>
      </c>
      <c r="O353" s="36">
        <f t="shared" si="9"/>
        <v>51</v>
      </c>
      <c r="P353" s="36">
        <f t="shared" si="10"/>
        <v>76</v>
      </c>
    </row>
    <row r="354" ht="15.75" customHeight="1">
      <c r="B354" s="29" t="s">
        <v>833</v>
      </c>
      <c r="C354" s="50" t="s">
        <v>51</v>
      </c>
      <c r="D354" s="59" t="s">
        <v>899</v>
      </c>
      <c r="E354" s="239" t="str">
        <f t="shared" si="12"/>
        <v>Free Agent</v>
      </c>
      <c r="F354" s="240"/>
      <c r="G354" s="240" t="s">
        <v>765</v>
      </c>
      <c r="H354" s="29"/>
      <c r="I354" s="265">
        <f t="shared" si="11"/>
        <v>2025</v>
      </c>
      <c r="J354" s="36"/>
      <c r="K354" s="36">
        <f t="shared" si="5"/>
        <v>1</v>
      </c>
      <c r="L354" s="36">
        <f t="shared" si="6"/>
        <v>6</v>
      </c>
      <c r="M354" s="36">
        <f t="shared" si="7"/>
        <v>16</v>
      </c>
      <c r="N354" s="36">
        <f t="shared" si="8"/>
        <v>31</v>
      </c>
      <c r="O354" s="36">
        <f t="shared" si="9"/>
        <v>51</v>
      </c>
      <c r="P354" s="36">
        <f t="shared" si="10"/>
        <v>76</v>
      </c>
    </row>
    <row r="355" ht="15.75" customHeight="1">
      <c r="B355" s="29" t="s">
        <v>833</v>
      </c>
      <c r="C355" s="29" t="s">
        <v>51</v>
      </c>
      <c r="D355" s="264" t="s">
        <v>900</v>
      </c>
      <c r="E355" s="239" t="str">
        <f t="shared" si="12"/>
        <v>Free Agent</v>
      </c>
      <c r="F355" s="240"/>
      <c r="G355" s="240" t="s">
        <v>765</v>
      </c>
      <c r="H355" s="29"/>
      <c r="I355" s="265">
        <f t="shared" si="11"/>
        <v>2025</v>
      </c>
      <c r="J355" s="36"/>
      <c r="K355" s="36">
        <f t="shared" si="5"/>
        <v>1</v>
      </c>
      <c r="L355" s="36">
        <f t="shared" si="6"/>
        <v>6</v>
      </c>
      <c r="M355" s="36">
        <f t="shared" si="7"/>
        <v>16</v>
      </c>
      <c r="N355" s="36">
        <f t="shared" si="8"/>
        <v>31</v>
      </c>
      <c r="O355" s="36">
        <f t="shared" si="9"/>
        <v>51</v>
      </c>
      <c r="P355" s="36">
        <f t="shared" si="10"/>
        <v>76</v>
      </c>
    </row>
    <row r="356" ht="15.75" customHeight="1">
      <c r="B356" s="29" t="s">
        <v>833</v>
      </c>
      <c r="C356" s="50" t="s">
        <v>51</v>
      </c>
      <c r="D356" s="59" t="s">
        <v>901</v>
      </c>
      <c r="E356" s="239" t="str">
        <f t="shared" si="12"/>
        <v>Free Agent</v>
      </c>
      <c r="F356" s="240"/>
      <c r="G356" s="240" t="s">
        <v>765</v>
      </c>
      <c r="H356" s="29"/>
      <c r="I356" s="265">
        <f t="shared" si="11"/>
        <v>2025</v>
      </c>
      <c r="J356" s="36"/>
      <c r="K356" s="36">
        <f t="shared" si="5"/>
        <v>1</v>
      </c>
      <c r="L356" s="36">
        <f t="shared" si="6"/>
        <v>6</v>
      </c>
      <c r="M356" s="36">
        <f t="shared" si="7"/>
        <v>16</v>
      </c>
      <c r="N356" s="36">
        <f t="shared" si="8"/>
        <v>31</v>
      </c>
      <c r="O356" s="36">
        <f t="shared" si="9"/>
        <v>51</v>
      </c>
      <c r="P356" s="36">
        <f t="shared" si="10"/>
        <v>76</v>
      </c>
    </row>
    <row r="357" ht="15.75" customHeight="1">
      <c r="B357" s="29" t="s">
        <v>833</v>
      </c>
      <c r="C357" s="29" t="s">
        <v>51</v>
      </c>
      <c r="D357" s="59" t="s">
        <v>902</v>
      </c>
      <c r="E357" s="239" t="str">
        <f t="shared" si="12"/>
        <v>Free Agent</v>
      </c>
      <c r="F357" s="240"/>
      <c r="G357" s="240" t="s">
        <v>765</v>
      </c>
      <c r="H357" s="29"/>
      <c r="I357" s="265">
        <f t="shared" si="11"/>
        <v>2025</v>
      </c>
      <c r="J357" s="36"/>
      <c r="K357" s="36">
        <f t="shared" si="5"/>
        <v>1</v>
      </c>
      <c r="L357" s="36">
        <f t="shared" si="6"/>
        <v>6</v>
      </c>
      <c r="M357" s="36">
        <f t="shared" si="7"/>
        <v>16</v>
      </c>
      <c r="N357" s="36">
        <f t="shared" si="8"/>
        <v>31</v>
      </c>
      <c r="O357" s="36">
        <f t="shared" si="9"/>
        <v>51</v>
      </c>
      <c r="P357" s="36">
        <f t="shared" si="10"/>
        <v>76</v>
      </c>
    </row>
    <row r="358" ht="15.75" customHeight="1">
      <c r="B358" s="29" t="s">
        <v>833</v>
      </c>
      <c r="C358" s="29" t="s">
        <v>51</v>
      </c>
      <c r="D358" s="264" t="s">
        <v>903</v>
      </c>
      <c r="E358" s="239" t="str">
        <f t="shared" si="12"/>
        <v>Free Agent</v>
      </c>
      <c r="F358" s="240"/>
      <c r="G358" s="240" t="s">
        <v>765</v>
      </c>
      <c r="H358" s="29"/>
      <c r="I358" s="265">
        <f t="shared" si="11"/>
        <v>2025</v>
      </c>
      <c r="J358" s="36"/>
      <c r="K358" s="36">
        <f t="shared" si="5"/>
        <v>1</v>
      </c>
      <c r="L358" s="36">
        <f t="shared" si="6"/>
        <v>6</v>
      </c>
      <c r="M358" s="36">
        <f t="shared" si="7"/>
        <v>16</v>
      </c>
      <c r="N358" s="36">
        <f t="shared" si="8"/>
        <v>31</v>
      </c>
      <c r="O358" s="36">
        <f t="shared" si="9"/>
        <v>51</v>
      </c>
      <c r="P358" s="36">
        <f t="shared" si="10"/>
        <v>76</v>
      </c>
    </row>
    <row r="359" ht="15.75" customHeight="1">
      <c r="B359" s="29" t="s">
        <v>833</v>
      </c>
      <c r="C359" s="29" t="s">
        <v>51</v>
      </c>
      <c r="D359" s="249" t="s">
        <v>904</v>
      </c>
      <c r="E359" s="239" t="str">
        <f t="shared" si="12"/>
        <v>Free Agent</v>
      </c>
      <c r="F359" s="240"/>
      <c r="G359" s="240" t="s">
        <v>765</v>
      </c>
      <c r="H359" s="29"/>
      <c r="I359" s="265">
        <f t="shared" si="11"/>
        <v>2025</v>
      </c>
      <c r="J359" s="36"/>
      <c r="K359" s="36">
        <f t="shared" si="5"/>
        <v>1</v>
      </c>
      <c r="L359" s="36">
        <f t="shared" si="6"/>
        <v>6</v>
      </c>
      <c r="M359" s="36">
        <f t="shared" si="7"/>
        <v>16</v>
      </c>
      <c r="N359" s="36">
        <f t="shared" si="8"/>
        <v>31</v>
      </c>
      <c r="O359" s="36">
        <f t="shared" si="9"/>
        <v>51</v>
      </c>
      <c r="P359" s="36">
        <f t="shared" si="10"/>
        <v>76</v>
      </c>
    </row>
    <row r="360" ht="15.75" customHeight="1">
      <c r="B360" s="29" t="s">
        <v>833</v>
      </c>
      <c r="C360" s="50" t="s">
        <v>51</v>
      </c>
      <c r="D360" s="249" t="s">
        <v>905</v>
      </c>
      <c r="E360" s="239" t="str">
        <f t="shared" si="12"/>
        <v>Free Agent</v>
      </c>
      <c r="F360" s="240"/>
      <c r="G360" s="240" t="s">
        <v>765</v>
      </c>
      <c r="H360" s="29"/>
      <c r="I360" s="265">
        <f t="shared" si="11"/>
        <v>2025</v>
      </c>
      <c r="J360" s="36"/>
      <c r="K360" s="36">
        <f t="shared" si="5"/>
        <v>1</v>
      </c>
      <c r="L360" s="36">
        <f t="shared" si="6"/>
        <v>6</v>
      </c>
      <c r="M360" s="36">
        <f t="shared" si="7"/>
        <v>16</v>
      </c>
      <c r="N360" s="36">
        <f t="shared" si="8"/>
        <v>31</v>
      </c>
      <c r="O360" s="36">
        <f t="shared" si="9"/>
        <v>51</v>
      </c>
      <c r="P360" s="36">
        <f t="shared" si="10"/>
        <v>76</v>
      </c>
    </row>
    <row r="361" ht="15.75" customHeight="1">
      <c r="B361" s="29" t="s">
        <v>833</v>
      </c>
      <c r="C361" s="29" t="s">
        <v>51</v>
      </c>
      <c r="D361" s="59" t="s">
        <v>906</v>
      </c>
      <c r="E361" s="239" t="str">
        <f t="shared" si="12"/>
        <v>Free Agent</v>
      </c>
      <c r="F361" s="36"/>
      <c r="G361" s="240" t="s">
        <v>765</v>
      </c>
      <c r="H361" s="29"/>
      <c r="I361" s="265">
        <f t="shared" si="11"/>
        <v>2025</v>
      </c>
      <c r="J361" s="36"/>
      <c r="K361" s="36">
        <f t="shared" si="5"/>
        <v>1</v>
      </c>
      <c r="L361" s="36">
        <f t="shared" si="6"/>
        <v>6</v>
      </c>
      <c r="M361" s="36">
        <f t="shared" si="7"/>
        <v>16</v>
      </c>
      <c r="N361" s="36">
        <f t="shared" si="8"/>
        <v>31</v>
      </c>
      <c r="O361" s="36">
        <f t="shared" si="9"/>
        <v>51</v>
      </c>
      <c r="P361" s="36">
        <f t="shared" si="10"/>
        <v>76</v>
      </c>
    </row>
    <row r="362" ht="15.75" customHeight="1">
      <c r="B362" s="29" t="s">
        <v>833</v>
      </c>
      <c r="C362" s="29" t="s">
        <v>51</v>
      </c>
      <c r="D362" s="59" t="s">
        <v>907</v>
      </c>
      <c r="E362" s="239" t="str">
        <f t="shared" si="12"/>
        <v>Free Agent</v>
      </c>
      <c r="F362" s="240"/>
      <c r="G362" s="240" t="s">
        <v>765</v>
      </c>
      <c r="H362" s="29"/>
      <c r="I362" s="265">
        <f t="shared" si="11"/>
        <v>2025</v>
      </c>
      <c r="J362" s="36"/>
      <c r="K362" s="36">
        <f t="shared" si="5"/>
        <v>1</v>
      </c>
      <c r="L362" s="36">
        <f t="shared" si="6"/>
        <v>6</v>
      </c>
      <c r="M362" s="36">
        <f t="shared" si="7"/>
        <v>16</v>
      </c>
      <c r="N362" s="36">
        <f t="shared" si="8"/>
        <v>31</v>
      </c>
      <c r="O362" s="36">
        <f t="shared" si="9"/>
        <v>51</v>
      </c>
      <c r="P362" s="36">
        <f t="shared" si="10"/>
        <v>76</v>
      </c>
    </row>
    <row r="363" ht="15.75" customHeight="1">
      <c r="B363" s="29" t="s">
        <v>833</v>
      </c>
      <c r="C363" s="29" t="s">
        <v>51</v>
      </c>
      <c r="D363" s="59" t="s">
        <v>908</v>
      </c>
      <c r="E363" s="239" t="str">
        <f t="shared" si="12"/>
        <v>Free Agent</v>
      </c>
      <c r="F363" s="36"/>
      <c r="G363" s="240" t="s">
        <v>765</v>
      </c>
      <c r="H363" s="29"/>
      <c r="I363" s="265">
        <f t="shared" si="11"/>
        <v>2025</v>
      </c>
      <c r="J363" s="36"/>
      <c r="K363" s="36">
        <f t="shared" si="5"/>
        <v>1</v>
      </c>
      <c r="L363" s="36">
        <f t="shared" si="6"/>
        <v>6</v>
      </c>
      <c r="M363" s="36">
        <f t="shared" si="7"/>
        <v>16</v>
      </c>
      <c r="N363" s="36">
        <f t="shared" si="8"/>
        <v>31</v>
      </c>
      <c r="O363" s="36">
        <f t="shared" si="9"/>
        <v>51</v>
      </c>
      <c r="P363" s="36">
        <f t="shared" si="10"/>
        <v>76</v>
      </c>
    </row>
    <row r="364" ht="15.75" customHeight="1">
      <c r="B364" s="29" t="s">
        <v>833</v>
      </c>
      <c r="C364" s="29" t="s">
        <v>51</v>
      </c>
      <c r="D364" s="59" t="s">
        <v>909</v>
      </c>
      <c r="E364" s="239">
        <f t="shared" si="12"/>
        <v>6</v>
      </c>
      <c r="F364" s="240">
        <v>1.0</v>
      </c>
      <c r="G364" s="240" t="s">
        <v>48</v>
      </c>
      <c r="H364" s="29">
        <v>2023.0</v>
      </c>
      <c r="I364" s="265">
        <f t="shared" si="11"/>
        <v>2</v>
      </c>
      <c r="J364" s="36"/>
      <c r="K364" s="36">
        <f t="shared" si="5"/>
        <v>1</v>
      </c>
      <c r="L364" s="36">
        <f t="shared" si="6"/>
        <v>6</v>
      </c>
      <c r="M364" s="36">
        <f t="shared" si="7"/>
        <v>16</v>
      </c>
      <c r="N364" s="36">
        <f t="shared" si="8"/>
        <v>31</v>
      </c>
      <c r="O364" s="36">
        <f t="shared" si="9"/>
        <v>51</v>
      </c>
      <c r="P364" s="36">
        <f t="shared" si="10"/>
        <v>76</v>
      </c>
    </row>
    <row r="365" ht="15.75" customHeight="1">
      <c r="B365" s="73" t="s">
        <v>833</v>
      </c>
      <c r="C365" s="29" t="s">
        <v>51</v>
      </c>
      <c r="D365" s="267" t="s">
        <v>910</v>
      </c>
      <c r="E365" s="239">
        <f t="shared" si="12"/>
        <v>6</v>
      </c>
      <c r="F365" s="240">
        <v>1.0</v>
      </c>
      <c r="G365" s="240" t="s">
        <v>48</v>
      </c>
      <c r="H365" s="29">
        <v>2023.0</v>
      </c>
      <c r="I365" s="265">
        <f t="shared" si="11"/>
        <v>2</v>
      </c>
      <c r="J365" s="36"/>
      <c r="K365" s="36">
        <f t="shared" si="5"/>
        <v>1</v>
      </c>
      <c r="L365" s="36">
        <f t="shared" si="6"/>
        <v>6</v>
      </c>
      <c r="M365" s="36">
        <f t="shared" si="7"/>
        <v>16</v>
      </c>
      <c r="N365" s="36">
        <f t="shared" si="8"/>
        <v>31</v>
      </c>
      <c r="O365" s="36">
        <f t="shared" si="9"/>
        <v>51</v>
      </c>
      <c r="P365" s="36">
        <f t="shared" si="10"/>
        <v>76</v>
      </c>
    </row>
    <row r="366" ht="15.75" customHeight="1">
      <c r="B366" s="29" t="s">
        <v>833</v>
      </c>
      <c r="C366" s="29" t="s">
        <v>51</v>
      </c>
      <c r="D366" s="59" t="s">
        <v>911</v>
      </c>
      <c r="E366" s="239" t="str">
        <f t="shared" si="12"/>
        <v>Free Agent</v>
      </c>
      <c r="F366" s="240"/>
      <c r="G366" s="240" t="s">
        <v>765</v>
      </c>
      <c r="H366" s="29"/>
      <c r="I366" s="265">
        <f t="shared" si="11"/>
        <v>2025</v>
      </c>
      <c r="J366" s="36"/>
      <c r="K366" s="36">
        <f t="shared" si="5"/>
        <v>1</v>
      </c>
      <c r="L366" s="36">
        <f t="shared" si="6"/>
        <v>6</v>
      </c>
      <c r="M366" s="36">
        <f t="shared" si="7"/>
        <v>16</v>
      </c>
      <c r="N366" s="36">
        <f t="shared" si="8"/>
        <v>31</v>
      </c>
      <c r="O366" s="36">
        <f t="shared" si="9"/>
        <v>51</v>
      </c>
      <c r="P366" s="36">
        <f t="shared" si="10"/>
        <v>76</v>
      </c>
    </row>
    <row r="367" ht="15.75" customHeight="1">
      <c r="B367" s="29" t="s">
        <v>833</v>
      </c>
      <c r="C367" s="29" t="s">
        <v>46</v>
      </c>
      <c r="D367" s="59" t="s">
        <v>912</v>
      </c>
      <c r="E367" s="239">
        <f t="shared" si="12"/>
        <v>6</v>
      </c>
      <c r="F367" s="240">
        <v>1.0</v>
      </c>
      <c r="G367" s="240" t="s">
        <v>48</v>
      </c>
      <c r="H367" s="29">
        <v>2023.0</v>
      </c>
      <c r="I367" s="265">
        <f t="shared" si="11"/>
        <v>2</v>
      </c>
      <c r="J367" s="36"/>
      <c r="K367" s="36">
        <f t="shared" si="5"/>
        <v>1</v>
      </c>
      <c r="L367" s="36">
        <f t="shared" si="6"/>
        <v>6</v>
      </c>
      <c r="M367" s="36">
        <f t="shared" si="7"/>
        <v>16</v>
      </c>
      <c r="N367" s="36">
        <f t="shared" si="8"/>
        <v>31</v>
      </c>
      <c r="O367" s="36">
        <f t="shared" si="9"/>
        <v>51</v>
      </c>
      <c r="P367" s="36">
        <f t="shared" si="10"/>
        <v>76</v>
      </c>
    </row>
    <row r="368" ht="15.75" customHeight="1">
      <c r="B368" s="29" t="s">
        <v>833</v>
      </c>
      <c r="C368" s="29" t="s">
        <v>46</v>
      </c>
      <c r="D368" s="59" t="s">
        <v>913</v>
      </c>
      <c r="E368" s="239">
        <f t="shared" si="12"/>
        <v>6</v>
      </c>
      <c r="F368" s="240">
        <v>1.0</v>
      </c>
      <c r="G368" s="240" t="s">
        <v>48</v>
      </c>
      <c r="H368" s="29">
        <v>2023.0</v>
      </c>
      <c r="I368" s="265">
        <f t="shared" si="11"/>
        <v>2</v>
      </c>
      <c r="J368" s="36"/>
      <c r="K368" s="36">
        <f t="shared" si="5"/>
        <v>1</v>
      </c>
      <c r="L368" s="36">
        <f t="shared" si="6"/>
        <v>6</v>
      </c>
      <c r="M368" s="36">
        <f t="shared" si="7"/>
        <v>16</v>
      </c>
      <c r="N368" s="36">
        <f t="shared" si="8"/>
        <v>31</v>
      </c>
      <c r="O368" s="36">
        <f t="shared" si="9"/>
        <v>51</v>
      </c>
      <c r="P368" s="36">
        <f t="shared" si="10"/>
        <v>76</v>
      </c>
    </row>
    <row r="369" ht="15.75" customHeight="1">
      <c r="B369" s="29" t="s">
        <v>833</v>
      </c>
      <c r="C369" s="29" t="s">
        <v>46</v>
      </c>
      <c r="D369" s="59" t="s">
        <v>914</v>
      </c>
      <c r="E369" s="239">
        <f t="shared" si="12"/>
        <v>6</v>
      </c>
      <c r="F369" s="240">
        <v>1.0</v>
      </c>
      <c r="G369" s="240" t="s">
        <v>48</v>
      </c>
      <c r="H369" s="29">
        <v>2023.0</v>
      </c>
      <c r="I369" s="265">
        <f t="shared" si="11"/>
        <v>2</v>
      </c>
      <c r="J369" s="36"/>
      <c r="K369" s="36">
        <f t="shared" si="5"/>
        <v>1</v>
      </c>
      <c r="L369" s="36">
        <f t="shared" si="6"/>
        <v>6</v>
      </c>
      <c r="M369" s="36">
        <f t="shared" si="7"/>
        <v>16</v>
      </c>
      <c r="N369" s="36">
        <f t="shared" si="8"/>
        <v>31</v>
      </c>
      <c r="O369" s="36">
        <f t="shared" si="9"/>
        <v>51</v>
      </c>
      <c r="P369" s="36">
        <f t="shared" si="10"/>
        <v>76</v>
      </c>
    </row>
    <row r="370" ht="15.75" customHeight="1">
      <c r="B370" s="29" t="s">
        <v>833</v>
      </c>
      <c r="C370" s="29" t="s">
        <v>46</v>
      </c>
      <c r="D370" s="59" t="s">
        <v>392</v>
      </c>
      <c r="E370" s="239">
        <f t="shared" si="12"/>
        <v>6</v>
      </c>
      <c r="F370" s="240">
        <v>1.0</v>
      </c>
      <c r="G370" s="240" t="s">
        <v>48</v>
      </c>
      <c r="H370" s="29">
        <v>2023.0</v>
      </c>
      <c r="I370" s="265">
        <f t="shared" si="11"/>
        <v>2</v>
      </c>
      <c r="J370" s="36"/>
      <c r="K370" s="36">
        <f t="shared" si="5"/>
        <v>1</v>
      </c>
      <c r="L370" s="36">
        <f t="shared" si="6"/>
        <v>6</v>
      </c>
      <c r="M370" s="36">
        <f t="shared" si="7"/>
        <v>16</v>
      </c>
      <c r="N370" s="36">
        <f t="shared" si="8"/>
        <v>31</v>
      </c>
      <c r="O370" s="36">
        <f t="shared" si="9"/>
        <v>51</v>
      </c>
      <c r="P370" s="36">
        <f t="shared" si="10"/>
        <v>76</v>
      </c>
    </row>
    <row r="371" ht="15.75" customHeight="1">
      <c r="B371" s="28" t="s">
        <v>174</v>
      </c>
      <c r="C371" s="29" t="s">
        <v>46</v>
      </c>
      <c r="D371" s="59" t="s">
        <v>308</v>
      </c>
      <c r="E371" s="239">
        <f t="shared" si="12"/>
        <v>8</v>
      </c>
      <c r="F371" s="240">
        <v>1.0</v>
      </c>
      <c r="G371" s="240" t="s">
        <v>48</v>
      </c>
      <c r="H371" s="29">
        <v>2023.0</v>
      </c>
      <c r="I371" s="265">
        <f t="shared" si="11"/>
        <v>2</v>
      </c>
      <c r="J371" s="36"/>
      <c r="K371" s="36">
        <f t="shared" si="5"/>
        <v>1</v>
      </c>
      <c r="L371" s="36">
        <v>8.0</v>
      </c>
      <c r="M371" s="36">
        <v>18.0</v>
      </c>
      <c r="N371" s="36">
        <v>33.0</v>
      </c>
      <c r="O371" s="36">
        <v>53.0</v>
      </c>
      <c r="P371" s="36">
        <v>78.0</v>
      </c>
    </row>
    <row r="372" ht="15.75" customHeight="1">
      <c r="B372" s="29" t="s">
        <v>833</v>
      </c>
      <c r="C372" s="29" t="s">
        <v>46</v>
      </c>
      <c r="D372" s="59" t="s">
        <v>915</v>
      </c>
      <c r="E372" s="239">
        <f t="shared" si="12"/>
        <v>6</v>
      </c>
      <c r="F372" s="240">
        <v>1.0</v>
      </c>
      <c r="G372" s="240" t="s">
        <v>48</v>
      </c>
      <c r="H372" s="29">
        <v>2023.0</v>
      </c>
      <c r="I372" s="265">
        <f t="shared" si="11"/>
        <v>2</v>
      </c>
      <c r="J372" s="36"/>
      <c r="K372" s="36">
        <f t="shared" si="5"/>
        <v>1</v>
      </c>
      <c r="L372" s="36">
        <f t="shared" ref="L372:L458" si="13">K372+5</f>
        <v>6</v>
      </c>
      <c r="M372" s="36">
        <f t="shared" ref="M372:M458" si="14">L372+10</f>
        <v>16</v>
      </c>
      <c r="N372" s="36">
        <f t="shared" ref="N372:N458" si="15">M372+15</f>
        <v>31</v>
      </c>
      <c r="O372" s="36">
        <f t="shared" ref="O372:O458" si="16">N372+20</f>
        <v>51</v>
      </c>
      <c r="P372" s="36">
        <f t="shared" ref="P372:P458" si="17">O372+25</f>
        <v>76</v>
      </c>
    </row>
    <row r="373" ht="15.75" customHeight="1">
      <c r="B373" s="29" t="s">
        <v>833</v>
      </c>
      <c r="C373" s="50" t="s">
        <v>46</v>
      </c>
      <c r="D373" s="59" t="s">
        <v>322</v>
      </c>
      <c r="E373" s="239">
        <f t="shared" si="12"/>
        <v>6</v>
      </c>
      <c r="F373" s="240">
        <v>1.0</v>
      </c>
      <c r="G373" s="240" t="s">
        <v>48</v>
      </c>
      <c r="H373" s="29">
        <v>2023.0</v>
      </c>
      <c r="I373" s="265">
        <f t="shared" si="11"/>
        <v>2</v>
      </c>
      <c r="J373" s="36"/>
      <c r="K373" s="36">
        <f t="shared" si="5"/>
        <v>1</v>
      </c>
      <c r="L373" s="36">
        <f t="shared" si="13"/>
        <v>6</v>
      </c>
      <c r="M373" s="36">
        <f t="shared" si="14"/>
        <v>16</v>
      </c>
      <c r="N373" s="36">
        <f t="shared" si="15"/>
        <v>31</v>
      </c>
      <c r="O373" s="36">
        <f t="shared" si="16"/>
        <v>51</v>
      </c>
      <c r="P373" s="36">
        <f t="shared" si="17"/>
        <v>76</v>
      </c>
    </row>
    <row r="374" ht="15.75" customHeight="1">
      <c r="B374" s="29" t="s">
        <v>833</v>
      </c>
      <c r="C374" s="50" t="s">
        <v>46</v>
      </c>
      <c r="D374" s="59" t="s">
        <v>916</v>
      </c>
      <c r="E374" s="239">
        <f t="shared" si="12"/>
        <v>6</v>
      </c>
      <c r="F374" s="240">
        <v>1.0</v>
      </c>
      <c r="G374" s="240" t="s">
        <v>48</v>
      </c>
      <c r="H374" s="29">
        <v>2023.0</v>
      </c>
      <c r="I374" s="265">
        <f t="shared" si="11"/>
        <v>2</v>
      </c>
      <c r="J374" s="36"/>
      <c r="K374" s="36">
        <f t="shared" si="5"/>
        <v>1</v>
      </c>
      <c r="L374" s="36">
        <f t="shared" si="13"/>
        <v>6</v>
      </c>
      <c r="M374" s="36">
        <f t="shared" si="14"/>
        <v>16</v>
      </c>
      <c r="N374" s="36">
        <f t="shared" si="15"/>
        <v>31</v>
      </c>
      <c r="O374" s="36">
        <f t="shared" si="16"/>
        <v>51</v>
      </c>
      <c r="P374" s="36">
        <f t="shared" si="17"/>
        <v>76</v>
      </c>
    </row>
    <row r="375" ht="15.75" customHeight="1">
      <c r="B375" s="29" t="s">
        <v>833</v>
      </c>
      <c r="C375" s="50" t="s">
        <v>46</v>
      </c>
      <c r="D375" s="59" t="s">
        <v>917</v>
      </c>
      <c r="E375" s="239">
        <f t="shared" si="12"/>
        <v>7</v>
      </c>
      <c r="F375" s="240">
        <v>2.0</v>
      </c>
      <c r="G375" s="240" t="s">
        <v>48</v>
      </c>
      <c r="H375" s="29">
        <v>2023.0</v>
      </c>
      <c r="I375" s="265">
        <f t="shared" si="11"/>
        <v>2</v>
      </c>
      <c r="J375" s="36"/>
      <c r="K375" s="36">
        <f t="shared" si="5"/>
        <v>2</v>
      </c>
      <c r="L375" s="36">
        <f t="shared" si="13"/>
        <v>7</v>
      </c>
      <c r="M375" s="36">
        <f t="shared" si="14"/>
        <v>17</v>
      </c>
      <c r="N375" s="36">
        <f t="shared" si="15"/>
        <v>32</v>
      </c>
      <c r="O375" s="36">
        <f t="shared" si="16"/>
        <v>52</v>
      </c>
      <c r="P375" s="36">
        <f t="shared" si="17"/>
        <v>77</v>
      </c>
    </row>
    <row r="376" ht="15.75" customHeight="1">
      <c r="B376" s="29" t="s">
        <v>833</v>
      </c>
      <c r="C376" s="50" t="s">
        <v>46</v>
      </c>
      <c r="D376" s="59" t="s">
        <v>918</v>
      </c>
      <c r="E376" s="239">
        <f t="shared" si="12"/>
        <v>6</v>
      </c>
      <c r="F376" s="240">
        <v>1.0</v>
      </c>
      <c r="G376" s="240" t="s">
        <v>48</v>
      </c>
      <c r="H376" s="29">
        <v>2023.0</v>
      </c>
      <c r="I376" s="265">
        <f t="shared" si="11"/>
        <v>2</v>
      </c>
      <c r="J376" s="36"/>
      <c r="K376" s="36">
        <f t="shared" si="5"/>
        <v>1</v>
      </c>
      <c r="L376" s="36">
        <f t="shared" si="13"/>
        <v>6</v>
      </c>
      <c r="M376" s="36">
        <f t="shared" si="14"/>
        <v>16</v>
      </c>
      <c r="N376" s="36">
        <f t="shared" si="15"/>
        <v>31</v>
      </c>
      <c r="O376" s="36">
        <f t="shared" si="16"/>
        <v>51</v>
      </c>
      <c r="P376" s="36">
        <f t="shared" si="17"/>
        <v>76</v>
      </c>
    </row>
    <row r="377" ht="15.75" customHeight="1">
      <c r="B377" s="29" t="s">
        <v>833</v>
      </c>
      <c r="C377" s="29" t="s">
        <v>46</v>
      </c>
      <c r="D377" s="264" t="s">
        <v>919</v>
      </c>
      <c r="E377" s="239">
        <f t="shared" si="12"/>
        <v>6</v>
      </c>
      <c r="F377" s="240">
        <v>1.0</v>
      </c>
      <c r="G377" s="240" t="s">
        <v>48</v>
      </c>
      <c r="H377" s="29">
        <v>2023.0</v>
      </c>
      <c r="I377" s="265">
        <f t="shared" si="11"/>
        <v>2</v>
      </c>
      <c r="J377" s="36"/>
      <c r="K377" s="36">
        <f t="shared" si="5"/>
        <v>1</v>
      </c>
      <c r="L377" s="36">
        <f t="shared" si="13"/>
        <v>6</v>
      </c>
      <c r="M377" s="36">
        <f t="shared" si="14"/>
        <v>16</v>
      </c>
      <c r="N377" s="36">
        <f t="shared" si="15"/>
        <v>31</v>
      </c>
      <c r="O377" s="36">
        <f t="shared" si="16"/>
        <v>51</v>
      </c>
      <c r="P377" s="36">
        <f t="shared" si="17"/>
        <v>76</v>
      </c>
    </row>
    <row r="378" ht="15.75" customHeight="1">
      <c r="B378" s="29" t="s">
        <v>833</v>
      </c>
      <c r="C378" s="29" t="s">
        <v>46</v>
      </c>
      <c r="D378" s="59" t="s">
        <v>920</v>
      </c>
      <c r="E378" s="239">
        <f t="shared" si="12"/>
        <v>6</v>
      </c>
      <c r="F378" s="240">
        <v>1.0</v>
      </c>
      <c r="G378" s="240" t="s">
        <v>48</v>
      </c>
      <c r="H378" s="29">
        <v>2023.0</v>
      </c>
      <c r="I378" s="265">
        <f t="shared" si="11"/>
        <v>2</v>
      </c>
      <c r="J378" s="36"/>
      <c r="K378" s="36">
        <f t="shared" si="5"/>
        <v>1</v>
      </c>
      <c r="L378" s="36">
        <f t="shared" si="13"/>
        <v>6</v>
      </c>
      <c r="M378" s="36">
        <f t="shared" si="14"/>
        <v>16</v>
      </c>
      <c r="N378" s="36">
        <f t="shared" si="15"/>
        <v>31</v>
      </c>
      <c r="O378" s="36">
        <f t="shared" si="16"/>
        <v>51</v>
      </c>
      <c r="P378" s="36">
        <f t="shared" si="17"/>
        <v>76</v>
      </c>
    </row>
    <row r="379" ht="15.75" customHeight="1">
      <c r="B379" s="29" t="s">
        <v>833</v>
      </c>
      <c r="C379" s="29" t="s">
        <v>46</v>
      </c>
      <c r="D379" s="59" t="s">
        <v>921</v>
      </c>
      <c r="E379" s="239">
        <f t="shared" si="12"/>
        <v>11</v>
      </c>
      <c r="F379" s="240">
        <v>6.0</v>
      </c>
      <c r="G379" s="240" t="s">
        <v>48</v>
      </c>
      <c r="H379" s="29">
        <v>2023.0</v>
      </c>
      <c r="I379" s="265">
        <f t="shared" si="11"/>
        <v>2</v>
      </c>
      <c r="J379" s="36"/>
      <c r="K379" s="36">
        <f t="shared" si="5"/>
        <v>6</v>
      </c>
      <c r="L379" s="36">
        <f t="shared" si="13"/>
        <v>11</v>
      </c>
      <c r="M379" s="36">
        <f t="shared" si="14"/>
        <v>21</v>
      </c>
      <c r="N379" s="36">
        <f t="shared" si="15"/>
        <v>36</v>
      </c>
      <c r="O379" s="36">
        <f t="shared" si="16"/>
        <v>56</v>
      </c>
      <c r="P379" s="36">
        <f t="shared" si="17"/>
        <v>81</v>
      </c>
    </row>
    <row r="380" ht="15.75" customHeight="1">
      <c r="B380" s="29" t="s">
        <v>833</v>
      </c>
      <c r="C380" s="29" t="s">
        <v>46</v>
      </c>
      <c r="D380" s="59" t="s">
        <v>922</v>
      </c>
      <c r="E380" s="239">
        <f t="shared" si="12"/>
        <v>17</v>
      </c>
      <c r="F380" s="240">
        <v>2.0</v>
      </c>
      <c r="G380" s="240" t="s">
        <v>48</v>
      </c>
      <c r="H380" s="29">
        <v>2022.0</v>
      </c>
      <c r="I380" s="265">
        <f t="shared" si="11"/>
        <v>3</v>
      </c>
      <c r="J380" s="36"/>
      <c r="K380" s="36">
        <f t="shared" si="5"/>
        <v>2</v>
      </c>
      <c r="L380" s="36">
        <f t="shared" si="13"/>
        <v>7</v>
      </c>
      <c r="M380" s="36">
        <f t="shared" si="14"/>
        <v>17</v>
      </c>
      <c r="N380" s="36">
        <f t="shared" si="15"/>
        <v>32</v>
      </c>
      <c r="O380" s="36">
        <f t="shared" si="16"/>
        <v>52</v>
      </c>
      <c r="P380" s="36">
        <f t="shared" si="17"/>
        <v>77</v>
      </c>
    </row>
    <row r="381" ht="15.75" customHeight="1">
      <c r="B381" s="29" t="s">
        <v>833</v>
      </c>
      <c r="C381" s="29" t="s">
        <v>46</v>
      </c>
      <c r="D381" s="59" t="s">
        <v>923</v>
      </c>
      <c r="E381" s="239" t="str">
        <f t="shared" si="12"/>
        <v>Free Agent</v>
      </c>
      <c r="F381" s="36"/>
      <c r="G381" s="240" t="s">
        <v>765</v>
      </c>
      <c r="H381" s="29"/>
      <c r="I381" s="265">
        <f t="shared" si="11"/>
        <v>2025</v>
      </c>
      <c r="J381" s="36"/>
      <c r="K381" s="36">
        <f t="shared" si="5"/>
        <v>1</v>
      </c>
      <c r="L381" s="36">
        <f t="shared" si="13"/>
        <v>6</v>
      </c>
      <c r="M381" s="36">
        <f t="shared" si="14"/>
        <v>16</v>
      </c>
      <c r="N381" s="36">
        <f t="shared" si="15"/>
        <v>31</v>
      </c>
      <c r="O381" s="36">
        <f t="shared" si="16"/>
        <v>51</v>
      </c>
      <c r="P381" s="36">
        <f t="shared" si="17"/>
        <v>76</v>
      </c>
    </row>
    <row r="382" ht="15.75" customHeight="1">
      <c r="B382" s="29" t="s">
        <v>833</v>
      </c>
      <c r="C382" s="29" t="s">
        <v>46</v>
      </c>
      <c r="D382" s="59" t="s">
        <v>242</v>
      </c>
      <c r="E382" s="239" t="str">
        <f t="shared" si="12"/>
        <v>Free Agent</v>
      </c>
      <c r="F382" s="240"/>
      <c r="G382" s="240" t="s">
        <v>765</v>
      </c>
      <c r="H382" s="29"/>
      <c r="I382" s="265">
        <f t="shared" si="11"/>
        <v>2025</v>
      </c>
      <c r="J382" s="36"/>
      <c r="K382" s="36">
        <f t="shared" si="5"/>
        <v>1</v>
      </c>
      <c r="L382" s="36">
        <f t="shared" si="13"/>
        <v>6</v>
      </c>
      <c r="M382" s="36">
        <f t="shared" si="14"/>
        <v>16</v>
      </c>
      <c r="N382" s="36">
        <f t="shared" si="15"/>
        <v>31</v>
      </c>
      <c r="O382" s="36">
        <f t="shared" si="16"/>
        <v>51</v>
      </c>
      <c r="P382" s="36">
        <f t="shared" si="17"/>
        <v>76</v>
      </c>
    </row>
    <row r="383" ht="15.75" customHeight="1">
      <c r="B383" s="29" t="s">
        <v>833</v>
      </c>
      <c r="C383" s="29" t="s">
        <v>46</v>
      </c>
      <c r="D383" s="59" t="s">
        <v>924</v>
      </c>
      <c r="E383" s="239" t="str">
        <f t="shared" si="12"/>
        <v>Free Agent</v>
      </c>
      <c r="F383" s="240"/>
      <c r="G383" s="240" t="s">
        <v>765</v>
      </c>
      <c r="H383" s="29"/>
      <c r="I383" s="265">
        <f t="shared" si="11"/>
        <v>2025</v>
      </c>
      <c r="J383" s="36"/>
      <c r="K383" s="36">
        <f t="shared" si="5"/>
        <v>1</v>
      </c>
      <c r="L383" s="36">
        <f t="shared" si="13"/>
        <v>6</v>
      </c>
      <c r="M383" s="36">
        <f t="shared" si="14"/>
        <v>16</v>
      </c>
      <c r="N383" s="36">
        <f t="shared" si="15"/>
        <v>31</v>
      </c>
      <c r="O383" s="36">
        <f t="shared" si="16"/>
        <v>51</v>
      </c>
      <c r="P383" s="36">
        <f t="shared" si="17"/>
        <v>76</v>
      </c>
    </row>
    <row r="384" ht="15.75" customHeight="1">
      <c r="B384" s="29" t="s">
        <v>833</v>
      </c>
      <c r="C384" s="29" t="s">
        <v>46</v>
      </c>
      <c r="D384" s="59" t="s">
        <v>925</v>
      </c>
      <c r="E384" s="239" t="str">
        <f t="shared" si="12"/>
        <v>Free Agent</v>
      </c>
      <c r="F384" s="240"/>
      <c r="G384" s="240" t="s">
        <v>765</v>
      </c>
      <c r="H384" s="29"/>
      <c r="I384" s="265">
        <f t="shared" si="11"/>
        <v>2025</v>
      </c>
      <c r="J384" s="36"/>
      <c r="K384" s="36">
        <f t="shared" si="5"/>
        <v>1</v>
      </c>
      <c r="L384" s="36">
        <f t="shared" si="13"/>
        <v>6</v>
      </c>
      <c r="M384" s="36">
        <f t="shared" si="14"/>
        <v>16</v>
      </c>
      <c r="N384" s="36">
        <f t="shared" si="15"/>
        <v>31</v>
      </c>
      <c r="O384" s="36">
        <f t="shared" si="16"/>
        <v>51</v>
      </c>
      <c r="P384" s="36">
        <f t="shared" si="17"/>
        <v>76</v>
      </c>
    </row>
    <row r="385" ht="15.75" customHeight="1">
      <c r="B385" s="29" t="s">
        <v>833</v>
      </c>
      <c r="C385" s="29" t="s">
        <v>46</v>
      </c>
      <c r="D385" s="59" t="s">
        <v>926</v>
      </c>
      <c r="E385" s="239" t="str">
        <f t="shared" si="12"/>
        <v>Free Agent</v>
      </c>
      <c r="F385" s="240"/>
      <c r="G385" s="240" t="s">
        <v>765</v>
      </c>
      <c r="H385" s="29"/>
      <c r="I385" s="265">
        <f t="shared" si="11"/>
        <v>2025</v>
      </c>
      <c r="J385" s="36"/>
      <c r="K385" s="36">
        <f t="shared" si="5"/>
        <v>1</v>
      </c>
      <c r="L385" s="36">
        <f t="shared" si="13"/>
        <v>6</v>
      </c>
      <c r="M385" s="36">
        <f t="shared" si="14"/>
        <v>16</v>
      </c>
      <c r="N385" s="36">
        <f t="shared" si="15"/>
        <v>31</v>
      </c>
      <c r="O385" s="36">
        <f t="shared" si="16"/>
        <v>51</v>
      </c>
      <c r="P385" s="36">
        <f t="shared" si="17"/>
        <v>76</v>
      </c>
    </row>
    <row r="386" ht="15.75" customHeight="1">
      <c r="B386" s="29" t="s">
        <v>833</v>
      </c>
      <c r="C386" s="29" t="s">
        <v>46</v>
      </c>
      <c r="D386" s="59" t="s">
        <v>927</v>
      </c>
      <c r="E386" s="239" t="str">
        <f t="shared" si="12"/>
        <v>Free Agent</v>
      </c>
      <c r="F386" s="36"/>
      <c r="G386" s="240" t="s">
        <v>765</v>
      </c>
      <c r="H386" s="29"/>
      <c r="I386" s="265">
        <f t="shared" si="11"/>
        <v>2025</v>
      </c>
      <c r="J386" s="36"/>
      <c r="K386" s="36">
        <f t="shared" si="5"/>
        <v>1</v>
      </c>
      <c r="L386" s="36">
        <f t="shared" si="13"/>
        <v>6</v>
      </c>
      <c r="M386" s="36">
        <f t="shared" si="14"/>
        <v>16</v>
      </c>
      <c r="N386" s="36">
        <f t="shared" si="15"/>
        <v>31</v>
      </c>
      <c r="O386" s="36">
        <f t="shared" si="16"/>
        <v>51</v>
      </c>
      <c r="P386" s="36">
        <f t="shared" si="17"/>
        <v>76</v>
      </c>
    </row>
    <row r="387" ht="15.75" customHeight="1">
      <c r="B387" s="29" t="s">
        <v>833</v>
      </c>
      <c r="C387" s="29" t="s">
        <v>46</v>
      </c>
      <c r="D387" s="59" t="s">
        <v>928</v>
      </c>
      <c r="E387" s="239" t="str">
        <f t="shared" si="12"/>
        <v>Free Agent</v>
      </c>
      <c r="F387" s="240"/>
      <c r="G387" s="240" t="s">
        <v>765</v>
      </c>
      <c r="H387" s="29"/>
      <c r="I387" s="265">
        <f t="shared" si="11"/>
        <v>2025</v>
      </c>
      <c r="J387" s="36"/>
      <c r="K387" s="36">
        <f t="shared" si="5"/>
        <v>1</v>
      </c>
      <c r="L387" s="36">
        <f t="shared" si="13"/>
        <v>6</v>
      </c>
      <c r="M387" s="36">
        <f t="shared" si="14"/>
        <v>16</v>
      </c>
      <c r="N387" s="36">
        <f t="shared" si="15"/>
        <v>31</v>
      </c>
      <c r="O387" s="36">
        <f t="shared" si="16"/>
        <v>51</v>
      </c>
      <c r="P387" s="36">
        <f t="shared" si="17"/>
        <v>76</v>
      </c>
    </row>
    <row r="388" ht="15.75" customHeight="1">
      <c r="B388" s="29" t="s">
        <v>833</v>
      </c>
      <c r="C388" s="29" t="s">
        <v>46</v>
      </c>
      <c r="D388" s="59" t="s">
        <v>929</v>
      </c>
      <c r="E388" s="239" t="str">
        <f t="shared" si="12"/>
        <v>Free Agent</v>
      </c>
      <c r="F388" s="36"/>
      <c r="G388" s="240" t="s">
        <v>765</v>
      </c>
      <c r="H388" s="29"/>
      <c r="I388" s="265">
        <f t="shared" si="11"/>
        <v>2025</v>
      </c>
      <c r="J388" s="36"/>
      <c r="K388" s="36">
        <f t="shared" si="5"/>
        <v>1</v>
      </c>
      <c r="L388" s="36">
        <f t="shared" si="13"/>
        <v>6</v>
      </c>
      <c r="M388" s="36">
        <f t="shared" si="14"/>
        <v>16</v>
      </c>
      <c r="N388" s="36">
        <f t="shared" si="15"/>
        <v>31</v>
      </c>
      <c r="O388" s="36">
        <f t="shared" si="16"/>
        <v>51</v>
      </c>
      <c r="P388" s="36">
        <f t="shared" si="17"/>
        <v>76</v>
      </c>
    </row>
    <row r="389" ht="15.75" customHeight="1">
      <c r="B389" s="29" t="s">
        <v>833</v>
      </c>
      <c r="C389" s="29" t="s">
        <v>46</v>
      </c>
      <c r="D389" s="59" t="s">
        <v>475</v>
      </c>
      <c r="E389" s="239" t="str">
        <f t="shared" si="12"/>
        <v>Free Agent</v>
      </c>
      <c r="F389" s="36"/>
      <c r="G389" s="240" t="s">
        <v>765</v>
      </c>
      <c r="H389" s="29"/>
      <c r="I389" s="265">
        <f t="shared" si="11"/>
        <v>2025</v>
      </c>
      <c r="J389" s="36"/>
      <c r="K389" s="36">
        <f t="shared" si="5"/>
        <v>1</v>
      </c>
      <c r="L389" s="36">
        <f t="shared" si="13"/>
        <v>6</v>
      </c>
      <c r="M389" s="36">
        <f t="shared" si="14"/>
        <v>16</v>
      </c>
      <c r="N389" s="36">
        <f t="shared" si="15"/>
        <v>31</v>
      </c>
      <c r="O389" s="36">
        <f t="shared" si="16"/>
        <v>51</v>
      </c>
      <c r="P389" s="36">
        <f t="shared" si="17"/>
        <v>76</v>
      </c>
    </row>
    <row r="390" ht="15.75" customHeight="1">
      <c r="B390" s="29" t="s">
        <v>833</v>
      </c>
      <c r="C390" s="29" t="s">
        <v>46</v>
      </c>
      <c r="D390" s="59" t="s">
        <v>930</v>
      </c>
      <c r="E390" s="239" t="str">
        <f t="shared" si="12"/>
        <v>Free Agent</v>
      </c>
      <c r="F390" s="240"/>
      <c r="G390" s="240" t="s">
        <v>765</v>
      </c>
      <c r="H390" s="29"/>
      <c r="I390" s="265">
        <f t="shared" si="11"/>
        <v>2025</v>
      </c>
      <c r="J390" s="36"/>
      <c r="K390" s="36">
        <f t="shared" si="5"/>
        <v>1</v>
      </c>
      <c r="L390" s="36">
        <f t="shared" si="13"/>
        <v>6</v>
      </c>
      <c r="M390" s="36">
        <f t="shared" si="14"/>
        <v>16</v>
      </c>
      <c r="N390" s="36">
        <f t="shared" si="15"/>
        <v>31</v>
      </c>
      <c r="O390" s="36">
        <f t="shared" si="16"/>
        <v>51</v>
      </c>
      <c r="P390" s="36">
        <f t="shared" si="17"/>
        <v>76</v>
      </c>
    </row>
    <row r="391" ht="15.75" customHeight="1">
      <c r="B391" s="29" t="s">
        <v>833</v>
      </c>
      <c r="C391" s="29" t="s">
        <v>46</v>
      </c>
      <c r="D391" s="59" t="s">
        <v>931</v>
      </c>
      <c r="E391" s="239" t="str">
        <f t="shared" si="12"/>
        <v>Free Agent</v>
      </c>
      <c r="F391" s="36"/>
      <c r="G391" s="240" t="s">
        <v>765</v>
      </c>
      <c r="H391" s="29"/>
      <c r="I391" s="265">
        <f t="shared" si="11"/>
        <v>2025</v>
      </c>
      <c r="J391" s="36"/>
      <c r="K391" s="36">
        <f t="shared" si="5"/>
        <v>1</v>
      </c>
      <c r="L391" s="36">
        <f t="shared" si="13"/>
        <v>6</v>
      </c>
      <c r="M391" s="36">
        <f t="shared" si="14"/>
        <v>16</v>
      </c>
      <c r="N391" s="36">
        <f t="shared" si="15"/>
        <v>31</v>
      </c>
      <c r="O391" s="36">
        <f t="shared" si="16"/>
        <v>51</v>
      </c>
      <c r="P391" s="36">
        <f t="shared" si="17"/>
        <v>76</v>
      </c>
    </row>
    <row r="392" ht="15.75" customHeight="1">
      <c r="B392" s="29" t="s">
        <v>833</v>
      </c>
      <c r="C392" s="29" t="s">
        <v>46</v>
      </c>
      <c r="D392" s="59" t="s">
        <v>932</v>
      </c>
      <c r="E392" s="239" t="str">
        <f t="shared" si="12"/>
        <v>Free Agent</v>
      </c>
      <c r="F392" s="240"/>
      <c r="G392" s="240" t="s">
        <v>765</v>
      </c>
      <c r="H392" s="29"/>
      <c r="I392" s="265">
        <f t="shared" si="11"/>
        <v>2025</v>
      </c>
      <c r="J392" s="36"/>
      <c r="K392" s="36">
        <f t="shared" si="5"/>
        <v>1</v>
      </c>
      <c r="L392" s="36">
        <f t="shared" si="13"/>
        <v>6</v>
      </c>
      <c r="M392" s="36">
        <f t="shared" si="14"/>
        <v>16</v>
      </c>
      <c r="N392" s="36">
        <f t="shared" si="15"/>
        <v>31</v>
      </c>
      <c r="O392" s="36">
        <f t="shared" si="16"/>
        <v>51</v>
      </c>
      <c r="P392" s="36">
        <f t="shared" si="17"/>
        <v>76</v>
      </c>
    </row>
    <row r="393" ht="15.75" customHeight="1">
      <c r="B393" s="29" t="s">
        <v>833</v>
      </c>
      <c r="C393" s="50" t="s">
        <v>46</v>
      </c>
      <c r="D393" s="59" t="s">
        <v>933</v>
      </c>
      <c r="E393" s="239" t="str">
        <f t="shared" si="12"/>
        <v>Free Agent</v>
      </c>
      <c r="F393" s="36"/>
      <c r="G393" s="240" t="s">
        <v>765</v>
      </c>
      <c r="H393" s="29"/>
      <c r="I393" s="265">
        <f t="shared" si="11"/>
        <v>2025</v>
      </c>
      <c r="J393" s="36"/>
      <c r="K393" s="36">
        <f t="shared" si="5"/>
        <v>1</v>
      </c>
      <c r="L393" s="36">
        <f t="shared" si="13"/>
        <v>6</v>
      </c>
      <c r="M393" s="36">
        <f t="shared" si="14"/>
        <v>16</v>
      </c>
      <c r="N393" s="36">
        <f t="shared" si="15"/>
        <v>31</v>
      </c>
      <c r="O393" s="36">
        <f t="shared" si="16"/>
        <v>51</v>
      </c>
      <c r="P393" s="36">
        <f t="shared" si="17"/>
        <v>76</v>
      </c>
    </row>
    <row r="394" ht="15.75" customHeight="1">
      <c r="B394" s="29" t="s">
        <v>833</v>
      </c>
      <c r="C394" s="29" t="s">
        <v>46</v>
      </c>
      <c r="D394" s="59" t="s">
        <v>934</v>
      </c>
      <c r="E394" s="239" t="str">
        <f t="shared" si="12"/>
        <v>Free Agent</v>
      </c>
      <c r="F394" s="240"/>
      <c r="G394" s="240" t="s">
        <v>765</v>
      </c>
      <c r="H394" s="29"/>
      <c r="I394" s="265">
        <f t="shared" si="11"/>
        <v>2025</v>
      </c>
      <c r="J394" s="36"/>
      <c r="K394" s="36">
        <f t="shared" si="5"/>
        <v>1</v>
      </c>
      <c r="L394" s="36">
        <f t="shared" si="13"/>
        <v>6</v>
      </c>
      <c r="M394" s="36">
        <f t="shared" si="14"/>
        <v>16</v>
      </c>
      <c r="N394" s="36">
        <f t="shared" si="15"/>
        <v>31</v>
      </c>
      <c r="O394" s="36">
        <f t="shared" si="16"/>
        <v>51</v>
      </c>
      <c r="P394" s="36">
        <f t="shared" si="17"/>
        <v>76</v>
      </c>
    </row>
    <row r="395" ht="15.75" customHeight="1">
      <c r="B395" s="29" t="s">
        <v>833</v>
      </c>
      <c r="C395" s="29" t="s">
        <v>46</v>
      </c>
      <c r="D395" s="59" t="s">
        <v>935</v>
      </c>
      <c r="E395" s="239" t="str">
        <f t="shared" si="12"/>
        <v>Free Agent</v>
      </c>
      <c r="F395" s="36"/>
      <c r="G395" s="240" t="s">
        <v>765</v>
      </c>
      <c r="H395" s="29"/>
      <c r="I395" s="265">
        <f t="shared" si="11"/>
        <v>2025</v>
      </c>
      <c r="J395" s="36"/>
      <c r="K395" s="36">
        <f t="shared" si="5"/>
        <v>1</v>
      </c>
      <c r="L395" s="36">
        <f t="shared" si="13"/>
        <v>6</v>
      </c>
      <c r="M395" s="36">
        <f t="shared" si="14"/>
        <v>16</v>
      </c>
      <c r="N395" s="36">
        <f t="shared" si="15"/>
        <v>31</v>
      </c>
      <c r="O395" s="36">
        <f t="shared" si="16"/>
        <v>51</v>
      </c>
      <c r="P395" s="36">
        <f t="shared" si="17"/>
        <v>76</v>
      </c>
    </row>
    <row r="396" ht="15.75" customHeight="1">
      <c r="B396" s="29" t="s">
        <v>833</v>
      </c>
      <c r="C396" s="50" t="s">
        <v>46</v>
      </c>
      <c r="D396" s="59" t="s">
        <v>936</v>
      </c>
      <c r="E396" s="239" t="str">
        <f t="shared" si="12"/>
        <v>Free Agent</v>
      </c>
      <c r="F396" s="240"/>
      <c r="G396" s="240" t="s">
        <v>765</v>
      </c>
      <c r="H396" s="29"/>
      <c r="I396" s="265">
        <f t="shared" si="11"/>
        <v>2025</v>
      </c>
      <c r="J396" s="36"/>
      <c r="K396" s="36">
        <f t="shared" si="5"/>
        <v>1</v>
      </c>
      <c r="L396" s="36">
        <f t="shared" si="13"/>
        <v>6</v>
      </c>
      <c r="M396" s="36">
        <f t="shared" si="14"/>
        <v>16</v>
      </c>
      <c r="N396" s="36">
        <f t="shared" si="15"/>
        <v>31</v>
      </c>
      <c r="O396" s="36">
        <f t="shared" si="16"/>
        <v>51</v>
      </c>
      <c r="P396" s="36">
        <f t="shared" si="17"/>
        <v>76</v>
      </c>
    </row>
    <row r="397" ht="15.75" customHeight="1">
      <c r="B397" s="29" t="s">
        <v>833</v>
      </c>
      <c r="C397" s="29" t="s">
        <v>46</v>
      </c>
      <c r="D397" s="59" t="s">
        <v>937</v>
      </c>
      <c r="E397" s="239" t="str">
        <f t="shared" si="12"/>
        <v>Free Agent</v>
      </c>
      <c r="F397" s="240"/>
      <c r="G397" s="240" t="s">
        <v>765</v>
      </c>
      <c r="H397" s="29"/>
      <c r="I397" s="265">
        <f t="shared" si="11"/>
        <v>2025</v>
      </c>
      <c r="J397" s="36"/>
      <c r="K397" s="36">
        <f t="shared" si="5"/>
        <v>1</v>
      </c>
      <c r="L397" s="36">
        <f t="shared" si="13"/>
        <v>6</v>
      </c>
      <c r="M397" s="36">
        <f t="shared" si="14"/>
        <v>16</v>
      </c>
      <c r="N397" s="36">
        <f t="shared" si="15"/>
        <v>31</v>
      </c>
      <c r="O397" s="36">
        <f t="shared" si="16"/>
        <v>51</v>
      </c>
      <c r="P397" s="36">
        <f t="shared" si="17"/>
        <v>76</v>
      </c>
    </row>
    <row r="398" ht="15.75" customHeight="1">
      <c r="B398" s="29" t="s">
        <v>833</v>
      </c>
      <c r="C398" s="29" t="s">
        <v>46</v>
      </c>
      <c r="D398" s="59" t="s">
        <v>938</v>
      </c>
      <c r="E398" s="239" t="str">
        <f t="shared" si="12"/>
        <v>Free Agent</v>
      </c>
      <c r="F398" s="240"/>
      <c r="G398" s="240" t="s">
        <v>765</v>
      </c>
      <c r="H398" s="29"/>
      <c r="I398" s="265">
        <f t="shared" si="11"/>
        <v>2025</v>
      </c>
      <c r="J398" s="36"/>
      <c r="K398" s="36">
        <f t="shared" si="5"/>
        <v>1</v>
      </c>
      <c r="L398" s="36">
        <f t="shared" si="13"/>
        <v>6</v>
      </c>
      <c r="M398" s="36">
        <f t="shared" si="14"/>
        <v>16</v>
      </c>
      <c r="N398" s="36">
        <f t="shared" si="15"/>
        <v>31</v>
      </c>
      <c r="O398" s="36">
        <f t="shared" si="16"/>
        <v>51</v>
      </c>
      <c r="P398" s="36">
        <f t="shared" si="17"/>
        <v>76</v>
      </c>
    </row>
    <row r="399" ht="15.75" customHeight="1">
      <c r="B399" s="29" t="s">
        <v>833</v>
      </c>
      <c r="C399" s="29" t="s">
        <v>46</v>
      </c>
      <c r="D399" s="59" t="s">
        <v>939</v>
      </c>
      <c r="E399" s="239" t="str">
        <f t="shared" si="12"/>
        <v>Free Agent</v>
      </c>
      <c r="F399" s="240"/>
      <c r="G399" s="240" t="s">
        <v>765</v>
      </c>
      <c r="H399" s="29"/>
      <c r="I399" s="265">
        <f t="shared" si="11"/>
        <v>2025</v>
      </c>
      <c r="J399" s="36"/>
      <c r="K399" s="36">
        <f t="shared" si="5"/>
        <v>1</v>
      </c>
      <c r="L399" s="36">
        <f t="shared" si="13"/>
        <v>6</v>
      </c>
      <c r="M399" s="36">
        <f t="shared" si="14"/>
        <v>16</v>
      </c>
      <c r="N399" s="36">
        <f t="shared" si="15"/>
        <v>31</v>
      </c>
      <c r="O399" s="36">
        <f t="shared" si="16"/>
        <v>51</v>
      </c>
      <c r="P399" s="36">
        <f t="shared" si="17"/>
        <v>76</v>
      </c>
    </row>
    <row r="400" ht="15.75" customHeight="1">
      <c r="B400" s="29" t="s">
        <v>833</v>
      </c>
      <c r="C400" s="29" t="s">
        <v>46</v>
      </c>
      <c r="D400" s="59" t="s">
        <v>940</v>
      </c>
      <c r="E400" s="239" t="str">
        <f t="shared" si="12"/>
        <v>Free Agent</v>
      </c>
      <c r="F400" s="36"/>
      <c r="G400" s="240" t="s">
        <v>765</v>
      </c>
      <c r="H400" s="29"/>
      <c r="I400" s="265">
        <f t="shared" si="11"/>
        <v>2025</v>
      </c>
      <c r="J400" s="36"/>
      <c r="K400" s="36">
        <f t="shared" si="5"/>
        <v>1</v>
      </c>
      <c r="L400" s="36">
        <f t="shared" si="13"/>
        <v>6</v>
      </c>
      <c r="M400" s="36">
        <f t="shared" si="14"/>
        <v>16</v>
      </c>
      <c r="N400" s="36">
        <f t="shared" si="15"/>
        <v>31</v>
      </c>
      <c r="O400" s="36">
        <f t="shared" si="16"/>
        <v>51</v>
      </c>
      <c r="P400" s="36">
        <f t="shared" si="17"/>
        <v>76</v>
      </c>
    </row>
    <row r="401" ht="15.75" customHeight="1">
      <c r="B401" s="29" t="s">
        <v>833</v>
      </c>
      <c r="C401" s="29" t="s">
        <v>46</v>
      </c>
      <c r="D401" s="59" t="s">
        <v>389</v>
      </c>
      <c r="E401" s="239" t="str">
        <f t="shared" si="12"/>
        <v>Free Agent</v>
      </c>
      <c r="F401" s="240"/>
      <c r="G401" s="240" t="s">
        <v>765</v>
      </c>
      <c r="H401" s="29"/>
      <c r="I401" s="265">
        <f t="shared" si="11"/>
        <v>2025</v>
      </c>
      <c r="J401" s="36"/>
      <c r="K401" s="36">
        <f t="shared" si="5"/>
        <v>1</v>
      </c>
      <c r="L401" s="36">
        <f t="shared" si="13"/>
        <v>6</v>
      </c>
      <c r="M401" s="36">
        <f t="shared" si="14"/>
        <v>16</v>
      </c>
      <c r="N401" s="36">
        <f t="shared" si="15"/>
        <v>31</v>
      </c>
      <c r="O401" s="36">
        <f t="shared" si="16"/>
        <v>51</v>
      </c>
      <c r="P401" s="36">
        <f t="shared" si="17"/>
        <v>76</v>
      </c>
    </row>
    <row r="402" ht="15.75" customHeight="1">
      <c r="B402" s="29" t="s">
        <v>833</v>
      </c>
      <c r="C402" s="29" t="s">
        <v>46</v>
      </c>
      <c r="D402" s="59" t="s">
        <v>941</v>
      </c>
      <c r="E402" s="239" t="str">
        <f t="shared" si="12"/>
        <v>Free Agent</v>
      </c>
      <c r="F402" s="36"/>
      <c r="G402" s="240" t="s">
        <v>765</v>
      </c>
      <c r="H402" s="29"/>
      <c r="I402" s="265">
        <f t="shared" si="11"/>
        <v>2025</v>
      </c>
      <c r="J402" s="36"/>
      <c r="K402" s="36">
        <f t="shared" si="5"/>
        <v>1</v>
      </c>
      <c r="L402" s="36">
        <f t="shared" si="13"/>
        <v>6</v>
      </c>
      <c r="M402" s="36">
        <f t="shared" si="14"/>
        <v>16</v>
      </c>
      <c r="N402" s="36">
        <f t="shared" si="15"/>
        <v>31</v>
      </c>
      <c r="O402" s="36">
        <f t="shared" si="16"/>
        <v>51</v>
      </c>
      <c r="P402" s="36">
        <f t="shared" si="17"/>
        <v>76</v>
      </c>
    </row>
    <row r="403" ht="15.75" customHeight="1">
      <c r="B403" s="29" t="s">
        <v>833</v>
      </c>
      <c r="C403" s="29" t="s">
        <v>46</v>
      </c>
      <c r="D403" s="59" t="s">
        <v>942</v>
      </c>
      <c r="E403" s="239" t="str">
        <f t="shared" si="12"/>
        <v>Free Agent</v>
      </c>
      <c r="F403" s="240"/>
      <c r="G403" s="240" t="s">
        <v>765</v>
      </c>
      <c r="H403" s="29"/>
      <c r="I403" s="265">
        <f t="shared" si="11"/>
        <v>2025</v>
      </c>
      <c r="J403" s="36"/>
      <c r="K403" s="36">
        <f t="shared" si="5"/>
        <v>1</v>
      </c>
      <c r="L403" s="36">
        <f t="shared" si="13"/>
        <v>6</v>
      </c>
      <c r="M403" s="36">
        <f t="shared" si="14"/>
        <v>16</v>
      </c>
      <c r="N403" s="36">
        <f t="shared" si="15"/>
        <v>31</v>
      </c>
      <c r="O403" s="36">
        <f t="shared" si="16"/>
        <v>51</v>
      </c>
      <c r="P403" s="36">
        <f t="shared" si="17"/>
        <v>76</v>
      </c>
    </row>
    <row r="404" ht="15.75" customHeight="1">
      <c r="B404" s="29" t="s">
        <v>833</v>
      </c>
      <c r="C404" s="29" t="s">
        <v>46</v>
      </c>
      <c r="D404" s="59" t="s">
        <v>943</v>
      </c>
      <c r="E404" s="239" t="str">
        <f t="shared" si="12"/>
        <v>Free Agent</v>
      </c>
      <c r="F404" s="36"/>
      <c r="G404" s="240" t="s">
        <v>765</v>
      </c>
      <c r="H404" s="29"/>
      <c r="I404" s="265">
        <f t="shared" si="11"/>
        <v>2025</v>
      </c>
      <c r="J404" s="36"/>
      <c r="K404" s="36">
        <f t="shared" si="5"/>
        <v>1</v>
      </c>
      <c r="L404" s="36">
        <f t="shared" si="13"/>
        <v>6</v>
      </c>
      <c r="M404" s="36">
        <f t="shared" si="14"/>
        <v>16</v>
      </c>
      <c r="N404" s="36">
        <f t="shared" si="15"/>
        <v>31</v>
      </c>
      <c r="O404" s="36">
        <f t="shared" si="16"/>
        <v>51</v>
      </c>
      <c r="P404" s="36">
        <f t="shared" si="17"/>
        <v>76</v>
      </c>
    </row>
    <row r="405" ht="15.75" customHeight="1">
      <c r="B405" s="29" t="s">
        <v>833</v>
      </c>
      <c r="C405" s="29" t="s">
        <v>46</v>
      </c>
      <c r="D405" s="59" t="s">
        <v>944</v>
      </c>
      <c r="E405" s="239" t="str">
        <f t="shared" si="12"/>
        <v>Free Agent</v>
      </c>
      <c r="F405" s="240"/>
      <c r="G405" s="240" t="s">
        <v>765</v>
      </c>
      <c r="H405" s="29"/>
      <c r="I405" s="265">
        <f t="shared" si="11"/>
        <v>2025</v>
      </c>
      <c r="J405" s="36"/>
      <c r="K405" s="36">
        <f t="shared" si="5"/>
        <v>1</v>
      </c>
      <c r="L405" s="36">
        <f t="shared" si="13"/>
        <v>6</v>
      </c>
      <c r="M405" s="36">
        <f t="shared" si="14"/>
        <v>16</v>
      </c>
      <c r="N405" s="36">
        <f t="shared" si="15"/>
        <v>31</v>
      </c>
      <c r="O405" s="36">
        <f t="shared" si="16"/>
        <v>51</v>
      </c>
      <c r="P405" s="36">
        <f t="shared" si="17"/>
        <v>76</v>
      </c>
    </row>
    <row r="406" ht="15.75" customHeight="1">
      <c r="B406" s="29" t="s">
        <v>833</v>
      </c>
      <c r="C406" s="29" t="s">
        <v>46</v>
      </c>
      <c r="D406" s="59" t="s">
        <v>945</v>
      </c>
      <c r="E406" s="239" t="str">
        <f t="shared" si="12"/>
        <v>Free Agent</v>
      </c>
      <c r="F406" s="36"/>
      <c r="G406" s="240" t="s">
        <v>765</v>
      </c>
      <c r="H406" s="29"/>
      <c r="I406" s="265">
        <f t="shared" si="11"/>
        <v>2025</v>
      </c>
      <c r="J406" s="36"/>
      <c r="K406" s="36">
        <f t="shared" si="5"/>
        <v>1</v>
      </c>
      <c r="L406" s="36">
        <f t="shared" si="13"/>
        <v>6</v>
      </c>
      <c r="M406" s="36">
        <f t="shared" si="14"/>
        <v>16</v>
      </c>
      <c r="N406" s="36">
        <f t="shared" si="15"/>
        <v>31</v>
      </c>
      <c r="O406" s="36">
        <f t="shared" si="16"/>
        <v>51</v>
      </c>
      <c r="P406" s="36">
        <f t="shared" si="17"/>
        <v>76</v>
      </c>
    </row>
    <row r="407" ht="15.75" customHeight="1">
      <c r="B407" s="29" t="s">
        <v>833</v>
      </c>
      <c r="C407" s="29" t="s">
        <v>46</v>
      </c>
      <c r="D407" s="264" t="s">
        <v>946</v>
      </c>
      <c r="E407" s="239" t="str">
        <f t="shared" si="12"/>
        <v>Free Agent</v>
      </c>
      <c r="F407" s="240"/>
      <c r="G407" s="240" t="s">
        <v>765</v>
      </c>
      <c r="H407" s="29"/>
      <c r="I407" s="265">
        <f t="shared" si="11"/>
        <v>2025</v>
      </c>
      <c r="J407" s="36"/>
      <c r="K407" s="36">
        <f t="shared" si="5"/>
        <v>1</v>
      </c>
      <c r="L407" s="36">
        <f t="shared" si="13"/>
        <v>6</v>
      </c>
      <c r="M407" s="36">
        <f t="shared" si="14"/>
        <v>16</v>
      </c>
      <c r="N407" s="36">
        <f t="shared" si="15"/>
        <v>31</v>
      </c>
      <c r="O407" s="36">
        <f t="shared" si="16"/>
        <v>51</v>
      </c>
      <c r="P407" s="36">
        <f t="shared" si="17"/>
        <v>76</v>
      </c>
    </row>
    <row r="408" ht="15.75" customHeight="1">
      <c r="B408" s="29" t="s">
        <v>833</v>
      </c>
      <c r="C408" s="29" t="s">
        <v>46</v>
      </c>
      <c r="D408" s="264" t="s">
        <v>947</v>
      </c>
      <c r="E408" s="239" t="str">
        <f t="shared" si="12"/>
        <v>Free Agent</v>
      </c>
      <c r="F408" s="240"/>
      <c r="G408" s="240" t="s">
        <v>765</v>
      </c>
      <c r="H408" s="29"/>
      <c r="I408" s="265">
        <f t="shared" si="11"/>
        <v>2025</v>
      </c>
      <c r="J408" s="36"/>
      <c r="K408" s="36">
        <f t="shared" si="5"/>
        <v>1</v>
      </c>
      <c r="L408" s="36">
        <f t="shared" si="13"/>
        <v>6</v>
      </c>
      <c r="M408" s="36">
        <f t="shared" si="14"/>
        <v>16</v>
      </c>
      <c r="N408" s="36">
        <f t="shared" si="15"/>
        <v>31</v>
      </c>
      <c r="O408" s="36">
        <f t="shared" si="16"/>
        <v>51</v>
      </c>
      <c r="P408" s="36">
        <f t="shared" si="17"/>
        <v>76</v>
      </c>
    </row>
    <row r="409" ht="15.75" customHeight="1">
      <c r="B409" s="29" t="s">
        <v>833</v>
      </c>
      <c r="C409" s="29" t="s">
        <v>46</v>
      </c>
      <c r="D409" s="59" t="s">
        <v>948</v>
      </c>
      <c r="E409" s="239" t="str">
        <f t="shared" si="12"/>
        <v>Free Agent</v>
      </c>
      <c r="F409" s="36"/>
      <c r="G409" s="240" t="s">
        <v>765</v>
      </c>
      <c r="H409" s="29"/>
      <c r="I409" s="265">
        <f t="shared" si="11"/>
        <v>2025</v>
      </c>
      <c r="J409" s="36"/>
      <c r="K409" s="36">
        <f t="shared" si="5"/>
        <v>1</v>
      </c>
      <c r="L409" s="36">
        <f t="shared" si="13"/>
        <v>6</v>
      </c>
      <c r="M409" s="36">
        <f t="shared" si="14"/>
        <v>16</v>
      </c>
      <c r="N409" s="36">
        <f t="shared" si="15"/>
        <v>31</v>
      </c>
      <c r="O409" s="36">
        <f t="shared" si="16"/>
        <v>51</v>
      </c>
      <c r="P409" s="36">
        <f t="shared" si="17"/>
        <v>76</v>
      </c>
    </row>
    <row r="410" ht="15.75" customHeight="1">
      <c r="B410" s="29" t="s">
        <v>833</v>
      </c>
      <c r="C410" s="29" t="s">
        <v>46</v>
      </c>
      <c r="D410" s="59" t="s">
        <v>949</v>
      </c>
      <c r="E410" s="239" t="str">
        <f t="shared" si="12"/>
        <v>Free Agent</v>
      </c>
      <c r="F410" s="240"/>
      <c r="G410" s="240" t="s">
        <v>765</v>
      </c>
      <c r="H410" s="29"/>
      <c r="I410" s="265">
        <f t="shared" si="11"/>
        <v>2025</v>
      </c>
      <c r="J410" s="36"/>
      <c r="K410" s="36">
        <f t="shared" si="5"/>
        <v>1</v>
      </c>
      <c r="L410" s="36">
        <f t="shared" si="13"/>
        <v>6</v>
      </c>
      <c r="M410" s="36">
        <f t="shared" si="14"/>
        <v>16</v>
      </c>
      <c r="N410" s="36">
        <f t="shared" si="15"/>
        <v>31</v>
      </c>
      <c r="O410" s="36">
        <f t="shared" si="16"/>
        <v>51</v>
      </c>
      <c r="P410" s="36">
        <f t="shared" si="17"/>
        <v>76</v>
      </c>
    </row>
    <row r="411" ht="15.75" customHeight="1">
      <c r="B411" s="29" t="s">
        <v>833</v>
      </c>
      <c r="C411" s="29" t="s">
        <v>46</v>
      </c>
      <c r="D411" s="59" t="s">
        <v>950</v>
      </c>
      <c r="E411" s="239" t="str">
        <f t="shared" si="12"/>
        <v>Free Agent</v>
      </c>
      <c r="F411" s="240"/>
      <c r="G411" s="240" t="s">
        <v>765</v>
      </c>
      <c r="H411" s="29"/>
      <c r="I411" s="265">
        <f t="shared" si="11"/>
        <v>2025</v>
      </c>
      <c r="J411" s="36"/>
      <c r="K411" s="36">
        <f t="shared" si="5"/>
        <v>1</v>
      </c>
      <c r="L411" s="36">
        <f t="shared" si="13"/>
        <v>6</v>
      </c>
      <c r="M411" s="36">
        <f t="shared" si="14"/>
        <v>16</v>
      </c>
      <c r="N411" s="36">
        <f t="shared" si="15"/>
        <v>31</v>
      </c>
      <c r="O411" s="36">
        <f t="shared" si="16"/>
        <v>51</v>
      </c>
      <c r="P411" s="36">
        <f t="shared" si="17"/>
        <v>76</v>
      </c>
    </row>
    <row r="412" ht="15.75" customHeight="1">
      <c r="B412" s="29" t="s">
        <v>833</v>
      </c>
      <c r="C412" s="29" t="s">
        <v>46</v>
      </c>
      <c r="D412" s="59" t="s">
        <v>951</v>
      </c>
      <c r="E412" s="239" t="str">
        <f t="shared" si="12"/>
        <v>Free Agent</v>
      </c>
      <c r="F412" s="240"/>
      <c r="G412" s="240" t="s">
        <v>765</v>
      </c>
      <c r="H412" s="29"/>
      <c r="I412" s="265">
        <f t="shared" si="11"/>
        <v>2025</v>
      </c>
      <c r="J412" s="36"/>
      <c r="K412" s="36">
        <f t="shared" si="5"/>
        <v>1</v>
      </c>
      <c r="L412" s="36">
        <f t="shared" si="13"/>
        <v>6</v>
      </c>
      <c r="M412" s="36">
        <f t="shared" si="14"/>
        <v>16</v>
      </c>
      <c r="N412" s="36">
        <f t="shared" si="15"/>
        <v>31</v>
      </c>
      <c r="O412" s="36">
        <f t="shared" si="16"/>
        <v>51</v>
      </c>
      <c r="P412" s="36">
        <f t="shared" si="17"/>
        <v>76</v>
      </c>
    </row>
    <row r="413" ht="15.75" customHeight="1">
      <c r="B413" s="29" t="s">
        <v>833</v>
      </c>
      <c r="C413" s="29" t="s">
        <v>46</v>
      </c>
      <c r="D413" s="59" t="s">
        <v>952</v>
      </c>
      <c r="E413" s="239" t="str">
        <f t="shared" si="12"/>
        <v>Free Agent</v>
      </c>
      <c r="F413" s="240"/>
      <c r="G413" s="240" t="s">
        <v>765</v>
      </c>
      <c r="H413" s="29"/>
      <c r="I413" s="265">
        <f t="shared" si="11"/>
        <v>2025</v>
      </c>
      <c r="J413" s="36"/>
      <c r="K413" s="36">
        <f t="shared" si="5"/>
        <v>1</v>
      </c>
      <c r="L413" s="36">
        <f t="shared" si="13"/>
        <v>6</v>
      </c>
      <c r="M413" s="36">
        <f t="shared" si="14"/>
        <v>16</v>
      </c>
      <c r="N413" s="36">
        <f t="shared" si="15"/>
        <v>31</v>
      </c>
      <c r="O413" s="36">
        <f t="shared" si="16"/>
        <v>51</v>
      </c>
      <c r="P413" s="36">
        <f t="shared" si="17"/>
        <v>76</v>
      </c>
    </row>
    <row r="414" ht="15.75" customHeight="1">
      <c r="B414" s="29" t="s">
        <v>833</v>
      </c>
      <c r="C414" s="29" t="s">
        <v>46</v>
      </c>
      <c r="D414" s="59" t="s">
        <v>953</v>
      </c>
      <c r="E414" s="239" t="str">
        <f t="shared" si="12"/>
        <v>Free Agent</v>
      </c>
      <c r="F414" s="240"/>
      <c r="G414" s="240" t="s">
        <v>765</v>
      </c>
      <c r="H414" s="29"/>
      <c r="I414" s="265">
        <f t="shared" si="11"/>
        <v>2025</v>
      </c>
      <c r="J414" s="36"/>
      <c r="K414" s="36">
        <f t="shared" si="5"/>
        <v>1</v>
      </c>
      <c r="L414" s="36">
        <f t="shared" si="13"/>
        <v>6</v>
      </c>
      <c r="M414" s="36">
        <f t="shared" si="14"/>
        <v>16</v>
      </c>
      <c r="N414" s="36">
        <f t="shared" si="15"/>
        <v>31</v>
      </c>
      <c r="O414" s="36">
        <f t="shared" si="16"/>
        <v>51</v>
      </c>
      <c r="P414" s="36">
        <f t="shared" si="17"/>
        <v>76</v>
      </c>
    </row>
    <row r="415" ht="15.75" customHeight="1">
      <c r="B415" s="29" t="s">
        <v>833</v>
      </c>
      <c r="C415" s="29" t="s">
        <v>46</v>
      </c>
      <c r="D415" s="59" t="s">
        <v>954</v>
      </c>
      <c r="E415" s="239" t="str">
        <f t="shared" si="12"/>
        <v>Free Agent</v>
      </c>
      <c r="F415" s="240"/>
      <c r="G415" s="240" t="s">
        <v>765</v>
      </c>
      <c r="H415" s="29"/>
      <c r="I415" s="265">
        <f t="shared" si="11"/>
        <v>2025</v>
      </c>
      <c r="J415" s="36"/>
      <c r="K415" s="36">
        <f t="shared" si="5"/>
        <v>1</v>
      </c>
      <c r="L415" s="36">
        <f t="shared" si="13"/>
        <v>6</v>
      </c>
      <c r="M415" s="36">
        <f t="shared" si="14"/>
        <v>16</v>
      </c>
      <c r="N415" s="36">
        <f t="shared" si="15"/>
        <v>31</v>
      </c>
      <c r="O415" s="36">
        <f t="shared" si="16"/>
        <v>51</v>
      </c>
      <c r="P415" s="36">
        <f t="shared" si="17"/>
        <v>76</v>
      </c>
    </row>
    <row r="416" ht="15.75" customHeight="1">
      <c r="B416" s="29" t="s">
        <v>833</v>
      </c>
      <c r="C416" s="29" t="s">
        <v>46</v>
      </c>
      <c r="D416" s="59" t="s">
        <v>955</v>
      </c>
      <c r="E416" s="239" t="str">
        <f t="shared" si="12"/>
        <v>Free Agent</v>
      </c>
      <c r="F416" s="240"/>
      <c r="G416" s="240" t="s">
        <v>765</v>
      </c>
      <c r="H416" s="29"/>
      <c r="I416" s="265">
        <f t="shared" si="11"/>
        <v>2025</v>
      </c>
      <c r="J416" s="36"/>
      <c r="K416" s="36">
        <f t="shared" si="5"/>
        <v>1</v>
      </c>
      <c r="L416" s="36">
        <f t="shared" si="13"/>
        <v>6</v>
      </c>
      <c r="M416" s="36">
        <f t="shared" si="14"/>
        <v>16</v>
      </c>
      <c r="N416" s="36">
        <f t="shared" si="15"/>
        <v>31</v>
      </c>
      <c r="O416" s="36">
        <f t="shared" si="16"/>
        <v>51</v>
      </c>
      <c r="P416" s="36">
        <f t="shared" si="17"/>
        <v>76</v>
      </c>
    </row>
    <row r="417" ht="15.75" customHeight="1">
      <c r="B417" s="29" t="s">
        <v>833</v>
      </c>
      <c r="C417" s="29" t="s">
        <v>46</v>
      </c>
      <c r="D417" s="59" t="s">
        <v>956</v>
      </c>
      <c r="E417" s="239" t="str">
        <f t="shared" si="12"/>
        <v>Free Agent</v>
      </c>
      <c r="F417" s="36"/>
      <c r="G417" s="240" t="s">
        <v>765</v>
      </c>
      <c r="H417" s="29"/>
      <c r="I417" s="265">
        <f t="shared" si="11"/>
        <v>2025</v>
      </c>
      <c r="J417" s="36"/>
      <c r="K417" s="36">
        <f t="shared" si="5"/>
        <v>1</v>
      </c>
      <c r="L417" s="36">
        <f t="shared" si="13"/>
        <v>6</v>
      </c>
      <c r="M417" s="36">
        <f t="shared" si="14"/>
        <v>16</v>
      </c>
      <c r="N417" s="36">
        <f t="shared" si="15"/>
        <v>31</v>
      </c>
      <c r="O417" s="36">
        <f t="shared" si="16"/>
        <v>51</v>
      </c>
      <c r="P417" s="36">
        <f t="shared" si="17"/>
        <v>76</v>
      </c>
    </row>
    <row r="418" ht="15.75" customHeight="1">
      <c r="B418" s="29" t="s">
        <v>833</v>
      </c>
      <c r="C418" s="29" t="s">
        <v>46</v>
      </c>
      <c r="D418" s="59" t="s">
        <v>957</v>
      </c>
      <c r="E418" s="239" t="str">
        <f t="shared" si="12"/>
        <v>Free Agent</v>
      </c>
      <c r="F418" s="240"/>
      <c r="G418" s="240" t="s">
        <v>765</v>
      </c>
      <c r="H418" s="29"/>
      <c r="I418" s="265">
        <f t="shared" si="11"/>
        <v>2025</v>
      </c>
      <c r="J418" s="36"/>
      <c r="K418" s="36">
        <f t="shared" si="5"/>
        <v>1</v>
      </c>
      <c r="L418" s="36">
        <f t="shared" si="13"/>
        <v>6</v>
      </c>
      <c r="M418" s="36">
        <f t="shared" si="14"/>
        <v>16</v>
      </c>
      <c r="N418" s="36">
        <f t="shared" si="15"/>
        <v>31</v>
      </c>
      <c r="O418" s="36">
        <f t="shared" si="16"/>
        <v>51</v>
      </c>
      <c r="P418" s="36">
        <f t="shared" si="17"/>
        <v>76</v>
      </c>
    </row>
    <row r="419" ht="15.75" customHeight="1">
      <c r="B419" s="29" t="s">
        <v>833</v>
      </c>
      <c r="C419" s="29" t="s">
        <v>46</v>
      </c>
      <c r="D419" s="59" t="s">
        <v>958</v>
      </c>
      <c r="E419" s="239" t="str">
        <f t="shared" si="12"/>
        <v>Free Agent</v>
      </c>
      <c r="F419" s="240"/>
      <c r="G419" s="240" t="s">
        <v>765</v>
      </c>
      <c r="H419" s="29"/>
      <c r="I419" s="265">
        <f t="shared" si="11"/>
        <v>2025</v>
      </c>
      <c r="J419" s="36"/>
      <c r="K419" s="36">
        <f t="shared" si="5"/>
        <v>1</v>
      </c>
      <c r="L419" s="36">
        <f t="shared" si="13"/>
        <v>6</v>
      </c>
      <c r="M419" s="36">
        <f t="shared" si="14"/>
        <v>16</v>
      </c>
      <c r="N419" s="36">
        <f t="shared" si="15"/>
        <v>31</v>
      </c>
      <c r="O419" s="36">
        <f t="shared" si="16"/>
        <v>51</v>
      </c>
      <c r="P419" s="36">
        <f t="shared" si="17"/>
        <v>76</v>
      </c>
    </row>
    <row r="420" ht="15.75" customHeight="1">
      <c r="B420" s="29" t="s">
        <v>833</v>
      </c>
      <c r="C420" s="29" t="s">
        <v>46</v>
      </c>
      <c r="D420" s="59" t="s">
        <v>959</v>
      </c>
      <c r="E420" s="239" t="str">
        <f t="shared" si="12"/>
        <v>Free Agent</v>
      </c>
      <c r="F420" s="240"/>
      <c r="G420" s="240" t="s">
        <v>765</v>
      </c>
      <c r="H420" s="29"/>
      <c r="I420" s="265">
        <f t="shared" si="11"/>
        <v>2025</v>
      </c>
      <c r="J420" s="36"/>
      <c r="K420" s="36">
        <f t="shared" si="5"/>
        <v>1</v>
      </c>
      <c r="L420" s="36">
        <f t="shared" si="13"/>
        <v>6</v>
      </c>
      <c r="M420" s="36">
        <f t="shared" si="14"/>
        <v>16</v>
      </c>
      <c r="N420" s="36">
        <f t="shared" si="15"/>
        <v>31</v>
      </c>
      <c r="O420" s="36">
        <f t="shared" si="16"/>
        <v>51</v>
      </c>
      <c r="P420" s="36">
        <f t="shared" si="17"/>
        <v>76</v>
      </c>
    </row>
    <row r="421" ht="15.75" customHeight="1">
      <c r="B421" s="29" t="s">
        <v>833</v>
      </c>
      <c r="C421" s="29" t="s">
        <v>46</v>
      </c>
      <c r="D421" s="59" t="s">
        <v>960</v>
      </c>
      <c r="E421" s="239" t="str">
        <f t="shared" si="12"/>
        <v>Free Agent</v>
      </c>
      <c r="F421" s="36"/>
      <c r="G421" s="240" t="s">
        <v>765</v>
      </c>
      <c r="H421" s="29"/>
      <c r="I421" s="265">
        <f t="shared" si="11"/>
        <v>2025</v>
      </c>
      <c r="J421" s="36"/>
      <c r="K421" s="36">
        <f t="shared" si="5"/>
        <v>1</v>
      </c>
      <c r="L421" s="36">
        <f t="shared" si="13"/>
        <v>6</v>
      </c>
      <c r="M421" s="36">
        <f t="shared" si="14"/>
        <v>16</v>
      </c>
      <c r="N421" s="36">
        <f t="shared" si="15"/>
        <v>31</v>
      </c>
      <c r="O421" s="36">
        <f t="shared" si="16"/>
        <v>51</v>
      </c>
      <c r="P421" s="36">
        <f t="shared" si="17"/>
        <v>76</v>
      </c>
    </row>
    <row r="422" ht="15.75" customHeight="1">
      <c r="B422" s="29" t="s">
        <v>833</v>
      </c>
      <c r="C422" s="29" t="s">
        <v>46</v>
      </c>
      <c r="D422" s="59" t="s">
        <v>961</v>
      </c>
      <c r="E422" s="239" t="str">
        <f t="shared" si="12"/>
        <v>Free Agent</v>
      </c>
      <c r="F422" s="36"/>
      <c r="G422" s="240" t="s">
        <v>765</v>
      </c>
      <c r="H422" s="29"/>
      <c r="I422" s="265">
        <f t="shared" si="11"/>
        <v>2025</v>
      </c>
      <c r="J422" s="36"/>
      <c r="K422" s="36">
        <f t="shared" si="5"/>
        <v>1</v>
      </c>
      <c r="L422" s="36">
        <f t="shared" si="13"/>
        <v>6</v>
      </c>
      <c r="M422" s="36">
        <f t="shared" si="14"/>
        <v>16</v>
      </c>
      <c r="N422" s="36">
        <f t="shared" si="15"/>
        <v>31</v>
      </c>
      <c r="O422" s="36">
        <f t="shared" si="16"/>
        <v>51</v>
      </c>
      <c r="P422" s="36">
        <f t="shared" si="17"/>
        <v>76</v>
      </c>
    </row>
    <row r="423" ht="15.75" customHeight="1">
      <c r="B423" s="29" t="s">
        <v>833</v>
      </c>
      <c r="C423" s="50" t="s">
        <v>46</v>
      </c>
      <c r="D423" s="59" t="s">
        <v>962</v>
      </c>
      <c r="E423" s="239" t="str">
        <f t="shared" si="12"/>
        <v>Free Agent</v>
      </c>
      <c r="F423" s="240"/>
      <c r="G423" s="240" t="s">
        <v>765</v>
      </c>
      <c r="H423" s="29"/>
      <c r="I423" s="265">
        <f t="shared" si="11"/>
        <v>2025</v>
      </c>
      <c r="J423" s="36"/>
      <c r="K423" s="36">
        <f t="shared" si="5"/>
        <v>1</v>
      </c>
      <c r="L423" s="36">
        <f t="shared" si="13"/>
        <v>6</v>
      </c>
      <c r="M423" s="36">
        <f t="shared" si="14"/>
        <v>16</v>
      </c>
      <c r="N423" s="36">
        <f t="shared" si="15"/>
        <v>31</v>
      </c>
      <c r="O423" s="36">
        <f t="shared" si="16"/>
        <v>51</v>
      </c>
      <c r="P423" s="36">
        <f t="shared" si="17"/>
        <v>76</v>
      </c>
    </row>
    <row r="424" ht="15.75" customHeight="1">
      <c r="B424" s="29" t="s">
        <v>833</v>
      </c>
      <c r="C424" s="29" t="s">
        <v>46</v>
      </c>
      <c r="D424" s="59" t="s">
        <v>963</v>
      </c>
      <c r="E424" s="239" t="str">
        <f t="shared" si="12"/>
        <v>Free Agent</v>
      </c>
      <c r="F424" s="36"/>
      <c r="G424" s="240" t="s">
        <v>765</v>
      </c>
      <c r="H424" s="29"/>
      <c r="I424" s="265">
        <f t="shared" si="11"/>
        <v>2025</v>
      </c>
      <c r="J424" s="36"/>
      <c r="K424" s="36">
        <f t="shared" si="5"/>
        <v>1</v>
      </c>
      <c r="L424" s="36">
        <f t="shared" si="13"/>
        <v>6</v>
      </c>
      <c r="M424" s="36">
        <f t="shared" si="14"/>
        <v>16</v>
      </c>
      <c r="N424" s="36">
        <f t="shared" si="15"/>
        <v>31</v>
      </c>
      <c r="O424" s="36">
        <f t="shared" si="16"/>
        <v>51</v>
      </c>
      <c r="P424" s="36">
        <f t="shared" si="17"/>
        <v>76</v>
      </c>
    </row>
    <row r="425" ht="15.75" customHeight="1">
      <c r="B425" s="29" t="s">
        <v>833</v>
      </c>
      <c r="C425" s="29" t="s">
        <v>46</v>
      </c>
      <c r="D425" s="59" t="s">
        <v>964</v>
      </c>
      <c r="E425" s="239" t="str">
        <f t="shared" si="12"/>
        <v>Free Agent</v>
      </c>
      <c r="F425" s="240"/>
      <c r="G425" s="240" t="s">
        <v>765</v>
      </c>
      <c r="H425" s="29"/>
      <c r="I425" s="265">
        <f t="shared" si="11"/>
        <v>2025</v>
      </c>
      <c r="J425" s="36"/>
      <c r="K425" s="36">
        <f t="shared" si="5"/>
        <v>1</v>
      </c>
      <c r="L425" s="36">
        <f t="shared" si="13"/>
        <v>6</v>
      </c>
      <c r="M425" s="36">
        <f t="shared" si="14"/>
        <v>16</v>
      </c>
      <c r="N425" s="36">
        <f t="shared" si="15"/>
        <v>31</v>
      </c>
      <c r="O425" s="36">
        <f t="shared" si="16"/>
        <v>51</v>
      </c>
      <c r="P425" s="36">
        <f t="shared" si="17"/>
        <v>76</v>
      </c>
    </row>
    <row r="426" ht="15.75" customHeight="1">
      <c r="B426" s="29" t="s">
        <v>833</v>
      </c>
      <c r="C426" s="29" t="s">
        <v>46</v>
      </c>
      <c r="D426" s="59" t="s">
        <v>965</v>
      </c>
      <c r="E426" s="239" t="str">
        <f t="shared" si="12"/>
        <v>Free Agent</v>
      </c>
      <c r="F426" s="240"/>
      <c r="G426" s="240" t="s">
        <v>765</v>
      </c>
      <c r="H426" s="29"/>
      <c r="I426" s="265">
        <f t="shared" si="11"/>
        <v>2025</v>
      </c>
      <c r="J426" s="36"/>
      <c r="K426" s="36">
        <f t="shared" si="5"/>
        <v>1</v>
      </c>
      <c r="L426" s="36">
        <f t="shared" si="13"/>
        <v>6</v>
      </c>
      <c r="M426" s="36">
        <f t="shared" si="14"/>
        <v>16</v>
      </c>
      <c r="N426" s="36">
        <f t="shared" si="15"/>
        <v>31</v>
      </c>
      <c r="O426" s="36">
        <f t="shared" si="16"/>
        <v>51</v>
      </c>
      <c r="P426" s="36">
        <f t="shared" si="17"/>
        <v>76</v>
      </c>
    </row>
    <row r="427" ht="15.75" customHeight="1">
      <c r="B427" s="29" t="s">
        <v>833</v>
      </c>
      <c r="C427" s="29" t="s">
        <v>46</v>
      </c>
      <c r="D427" s="59" t="s">
        <v>966</v>
      </c>
      <c r="E427" s="239" t="str">
        <f t="shared" si="12"/>
        <v>Free Agent</v>
      </c>
      <c r="F427" s="240"/>
      <c r="G427" s="240" t="s">
        <v>765</v>
      </c>
      <c r="H427" s="29"/>
      <c r="I427" s="265">
        <f t="shared" si="11"/>
        <v>2025</v>
      </c>
      <c r="J427" s="36"/>
      <c r="K427" s="36">
        <f t="shared" si="5"/>
        <v>1</v>
      </c>
      <c r="L427" s="36">
        <f t="shared" si="13"/>
        <v>6</v>
      </c>
      <c r="M427" s="36">
        <f t="shared" si="14"/>
        <v>16</v>
      </c>
      <c r="N427" s="36">
        <f t="shared" si="15"/>
        <v>31</v>
      </c>
      <c r="O427" s="36">
        <f t="shared" si="16"/>
        <v>51</v>
      </c>
      <c r="P427" s="36">
        <f t="shared" si="17"/>
        <v>76</v>
      </c>
    </row>
    <row r="428" ht="15.75" customHeight="1">
      <c r="B428" s="29" t="s">
        <v>833</v>
      </c>
      <c r="C428" s="29" t="s">
        <v>46</v>
      </c>
      <c r="D428" s="59" t="s">
        <v>356</v>
      </c>
      <c r="E428" s="239" t="str">
        <f t="shared" si="12"/>
        <v>Free Agent</v>
      </c>
      <c r="F428" s="36"/>
      <c r="G428" s="240" t="s">
        <v>765</v>
      </c>
      <c r="H428" s="29"/>
      <c r="I428" s="265">
        <f t="shared" si="11"/>
        <v>2025</v>
      </c>
      <c r="J428" s="36"/>
      <c r="K428" s="36">
        <f t="shared" si="5"/>
        <v>1</v>
      </c>
      <c r="L428" s="36">
        <f t="shared" si="13"/>
        <v>6</v>
      </c>
      <c r="M428" s="36">
        <f t="shared" si="14"/>
        <v>16</v>
      </c>
      <c r="N428" s="36">
        <f t="shared" si="15"/>
        <v>31</v>
      </c>
      <c r="O428" s="36">
        <f t="shared" si="16"/>
        <v>51</v>
      </c>
      <c r="P428" s="36">
        <f t="shared" si="17"/>
        <v>76</v>
      </c>
    </row>
    <row r="429" ht="15.75" customHeight="1">
      <c r="B429" s="29" t="s">
        <v>833</v>
      </c>
      <c r="C429" s="29" t="s">
        <v>46</v>
      </c>
      <c r="D429" s="59" t="s">
        <v>967</v>
      </c>
      <c r="E429" s="239" t="str">
        <f t="shared" si="12"/>
        <v>Free Agent</v>
      </c>
      <c r="F429" s="240"/>
      <c r="G429" s="240" t="s">
        <v>765</v>
      </c>
      <c r="H429" s="29"/>
      <c r="I429" s="265">
        <f t="shared" si="11"/>
        <v>2025</v>
      </c>
      <c r="J429" s="36"/>
      <c r="K429" s="36">
        <f t="shared" si="5"/>
        <v>1</v>
      </c>
      <c r="L429" s="36">
        <f t="shared" si="13"/>
        <v>6</v>
      </c>
      <c r="M429" s="36">
        <f t="shared" si="14"/>
        <v>16</v>
      </c>
      <c r="N429" s="36">
        <f t="shared" si="15"/>
        <v>31</v>
      </c>
      <c r="O429" s="36">
        <f t="shared" si="16"/>
        <v>51</v>
      </c>
      <c r="P429" s="36">
        <f t="shared" si="17"/>
        <v>76</v>
      </c>
    </row>
    <row r="430" ht="15.75" customHeight="1">
      <c r="B430" s="29" t="s">
        <v>833</v>
      </c>
      <c r="C430" s="50" t="s">
        <v>46</v>
      </c>
      <c r="D430" s="59" t="s">
        <v>968</v>
      </c>
      <c r="E430" s="239" t="str">
        <f t="shared" si="12"/>
        <v>Free Agent</v>
      </c>
      <c r="F430" s="240"/>
      <c r="G430" s="240" t="s">
        <v>765</v>
      </c>
      <c r="H430" s="29"/>
      <c r="I430" s="265">
        <f t="shared" si="11"/>
        <v>2025</v>
      </c>
      <c r="J430" s="36"/>
      <c r="K430" s="36">
        <f t="shared" si="5"/>
        <v>1</v>
      </c>
      <c r="L430" s="36">
        <f t="shared" si="13"/>
        <v>6</v>
      </c>
      <c r="M430" s="36">
        <f t="shared" si="14"/>
        <v>16</v>
      </c>
      <c r="N430" s="36">
        <f t="shared" si="15"/>
        <v>31</v>
      </c>
      <c r="O430" s="36">
        <f t="shared" si="16"/>
        <v>51</v>
      </c>
      <c r="P430" s="36">
        <f t="shared" si="17"/>
        <v>76</v>
      </c>
    </row>
    <row r="431" ht="15.75" customHeight="1">
      <c r="B431" s="29" t="s">
        <v>833</v>
      </c>
      <c r="C431" s="29" t="s">
        <v>46</v>
      </c>
      <c r="D431" s="59" t="s">
        <v>969</v>
      </c>
      <c r="E431" s="239">
        <f t="shared" si="12"/>
        <v>6</v>
      </c>
      <c r="F431" s="240">
        <v>1.0</v>
      </c>
      <c r="G431" s="240" t="s">
        <v>48</v>
      </c>
      <c r="H431" s="29">
        <v>2023.0</v>
      </c>
      <c r="I431" s="265">
        <f t="shared" si="11"/>
        <v>2</v>
      </c>
      <c r="J431" s="36"/>
      <c r="K431" s="36">
        <f t="shared" si="5"/>
        <v>1</v>
      </c>
      <c r="L431" s="36">
        <f t="shared" si="13"/>
        <v>6</v>
      </c>
      <c r="M431" s="36">
        <f t="shared" si="14"/>
        <v>16</v>
      </c>
      <c r="N431" s="36">
        <f t="shared" si="15"/>
        <v>31</v>
      </c>
      <c r="O431" s="36">
        <f t="shared" si="16"/>
        <v>51</v>
      </c>
      <c r="P431" s="36">
        <f t="shared" si="17"/>
        <v>76</v>
      </c>
    </row>
    <row r="432" ht="15.75" customHeight="1">
      <c r="B432" s="29" t="s">
        <v>833</v>
      </c>
      <c r="C432" s="50" t="s">
        <v>60</v>
      </c>
      <c r="D432" s="59" t="s">
        <v>148</v>
      </c>
      <c r="E432" s="239">
        <f t="shared" si="12"/>
        <v>6</v>
      </c>
      <c r="F432" s="240">
        <v>1.0</v>
      </c>
      <c r="G432" s="240" t="s">
        <v>48</v>
      </c>
      <c r="H432" s="29">
        <v>2023.0</v>
      </c>
      <c r="I432" s="265">
        <f t="shared" si="11"/>
        <v>2</v>
      </c>
      <c r="J432" s="36"/>
      <c r="K432" s="36">
        <f t="shared" si="5"/>
        <v>1</v>
      </c>
      <c r="L432" s="36">
        <f t="shared" si="13"/>
        <v>6</v>
      </c>
      <c r="M432" s="36">
        <f t="shared" si="14"/>
        <v>16</v>
      </c>
      <c r="N432" s="36">
        <f t="shared" si="15"/>
        <v>31</v>
      </c>
      <c r="O432" s="36">
        <f t="shared" si="16"/>
        <v>51</v>
      </c>
      <c r="P432" s="36">
        <f t="shared" si="17"/>
        <v>76</v>
      </c>
    </row>
    <row r="433" ht="15.75" customHeight="1">
      <c r="B433" s="29" t="s">
        <v>833</v>
      </c>
      <c r="C433" s="29" t="s">
        <v>60</v>
      </c>
      <c r="D433" s="59" t="s">
        <v>970</v>
      </c>
      <c r="E433" s="239">
        <f t="shared" si="12"/>
        <v>6</v>
      </c>
      <c r="F433" s="36">
        <v>1.0</v>
      </c>
      <c r="G433" s="240" t="s">
        <v>48</v>
      </c>
      <c r="H433" s="29">
        <v>2023.0</v>
      </c>
      <c r="I433" s="265">
        <f t="shared" si="11"/>
        <v>2</v>
      </c>
      <c r="J433" s="36"/>
      <c r="K433" s="36">
        <f t="shared" si="5"/>
        <v>1</v>
      </c>
      <c r="L433" s="36">
        <f t="shared" si="13"/>
        <v>6</v>
      </c>
      <c r="M433" s="36">
        <f t="shared" si="14"/>
        <v>16</v>
      </c>
      <c r="N433" s="36">
        <f t="shared" si="15"/>
        <v>31</v>
      </c>
      <c r="O433" s="36">
        <f t="shared" si="16"/>
        <v>51</v>
      </c>
      <c r="P433" s="36">
        <f t="shared" si="17"/>
        <v>76</v>
      </c>
    </row>
    <row r="434" ht="15.75" customHeight="1">
      <c r="B434" s="29" t="s">
        <v>833</v>
      </c>
      <c r="C434" s="29" t="s">
        <v>60</v>
      </c>
      <c r="D434" s="59" t="s">
        <v>286</v>
      </c>
      <c r="E434" s="239">
        <f t="shared" si="12"/>
        <v>6</v>
      </c>
      <c r="F434" s="250">
        <v>1.0</v>
      </c>
      <c r="G434" s="240" t="s">
        <v>48</v>
      </c>
      <c r="H434" s="29">
        <v>2023.0</v>
      </c>
      <c r="I434" s="265">
        <f t="shared" si="11"/>
        <v>2</v>
      </c>
      <c r="J434" s="36"/>
      <c r="K434" s="36">
        <f t="shared" si="5"/>
        <v>1</v>
      </c>
      <c r="L434" s="36">
        <f t="shared" si="13"/>
        <v>6</v>
      </c>
      <c r="M434" s="36">
        <f t="shared" si="14"/>
        <v>16</v>
      </c>
      <c r="N434" s="36">
        <f t="shared" si="15"/>
        <v>31</v>
      </c>
      <c r="O434" s="36">
        <f t="shared" si="16"/>
        <v>51</v>
      </c>
      <c r="P434" s="36">
        <f t="shared" si="17"/>
        <v>76</v>
      </c>
    </row>
    <row r="435" ht="15.75" customHeight="1">
      <c r="B435" s="29" t="s">
        <v>833</v>
      </c>
      <c r="C435" s="29" t="s">
        <v>60</v>
      </c>
      <c r="D435" s="262" t="s">
        <v>971</v>
      </c>
      <c r="E435" s="239" t="str">
        <f t="shared" si="12"/>
        <v>Free Agent</v>
      </c>
      <c r="F435" s="240"/>
      <c r="G435" s="263" t="s">
        <v>765</v>
      </c>
      <c r="H435" s="29"/>
      <c r="I435" s="29">
        <f t="shared" si="11"/>
        <v>2025</v>
      </c>
      <c r="J435" s="36"/>
      <c r="K435" s="36">
        <f t="shared" si="5"/>
        <v>1</v>
      </c>
      <c r="L435" s="36">
        <f t="shared" si="13"/>
        <v>6</v>
      </c>
      <c r="M435" s="36">
        <f t="shared" si="14"/>
        <v>16</v>
      </c>
      <c r="N435" s="36">
        <f t="shared" si="15"/>
        <v>31</v>
      </c>
      <c r="O435" s="36">
        <f t="shared" si="16"/>
        <v>51</v>
      </c>
      <c r="P435" s="36">
        <f t="shared" si="17"/>
        <v>76</v>
      </c>
    </row>
    <row r="436" ht="15.75" customHeight="1">
      <c r="B436" s="29" t="s">
        <v>833</v>
      </c>
      <c r="C436" s="29" t="s">
        <v>60</v>
      </c>
      <c r="D436" s="262" t="s">
        <v>972</v>
      </c>
      <c r="E436" s="239" t="str">
        <f t="shared" si="12"/>
        <v>Free Agent</v>
      </c>
      <c r="F436" s="240"/>
      <c r="G436" s="263" t="s">
        <v>765</v>
      </c>
      <c r="H436" s="29"/>
      <c r="I436" s="29">
        <f t="shared" si="11"/>
        <v>2025</v>
      </c>
      <c r="J436" s="36"/>
      <c r="K436" s="36">
        <f t="shared" si="5"/>
        <v>1</v>
      </c>
      <c r="L436" s="36">
        <f t="shared" si="13"/>
        <v>6</v>
      </c>
      <c r="M436" s="36">
        <f t="shared" si="14"/>
        <v>16</v>
      </c>
      <c r="N436" s="36">
        <f t="shared" si="15"/>
        <v>31</v>
      </c>
      <c r="O436" s="36">
        <f t="shared" si="16"/>
        <v>51</v>
      </c>
      <c r="P436" s="36">
        <f t="shared" si="17"/>
        <v>76</v>
      </c>
    </row>
    <row r="437" ht="15.75" customHeight="1">
      <c r="B437" s="29" t="s">
        <v>833</v>
      </c>
      <c r="C437" s="29" t="s">
        <v>60</v>
      </c>
      <c r="D437" s="262" t="s">
        <v>973</v>
      </c>
      <c r="E437" s="239" t="str">
        <f t="shared" si="12"/>
        <v>Free Agent</v>
      </c>
      <c r="F437" s="36"/>
      <c r="G437" s="263" t="s">
        <v>765</v>
      </c>
      <c r="H437" s="29"/>
      <c r="I437" s="29">
        <f t="shared" si="11"/>
        <v>2025</v>
      </c>
      <c r="J437" s="36"/>
      <c r="K437" s="36">
        <f t="shared" si="5"/>
        <v>1</v>
      </c>
      <c r="L437" s="36">
        <f t="shared" si="13"/>
        <v>6</v>
      </c>
      <c r="M437" s="36">
        <f t="shared" si="14"/>
        <v>16</v>
      </c>
      <c r="N437" s="36">
        <f t="shared" si="15"/>
        <v>31</v>
      </c>
      <c r="O437" s="36">
        <f t="shared" si="16"/>
        <v>51</v>
      </c>
      <c r="P437" s="36">
        <f t="shared" si="17"/>
        <v>76</v>
      </c>
    </row>
    <row r="438" ht="15.75" customHeight="1">
      <c r="B438" s="29" t="s">
        <v>833</v>
      </c>
      <c r="C438" s="29" t="s">
        <v>60</v>
      </c>
      <c r="D438" s="262" t="s">
        <v>974</v>
      </c>
      <c r="E438" s="239" t="str">
        <f t="shared" si="12"/>
        <v>Free Agent</v>
      </c>
      <c r="F438" s="240"/>
      <c r="G438" s="263" t="s">
        <v>765</v>
      </c>
      <c r="H438" s="29"/>
      <c r="I438" s="29">
        <f t="shared" si="11"/>
        <v>2025</v>
      </c>
      <c r="J438" s="36"/>
      <c r="K438" s="36">
        <f t="shared" si="5"/>
        <v>1</v>
      </c>
      <c r="L438" s="36">
        <f t="shared" si="13"/>
        <v>6</v>
      </c>
      <c r="M438" s="36">
        <f t="shared" si="14"/>
        <v>16</v>
      </c>
      <c r="N438" s="36">
        <f t="shared" si="15"/>
        <v>31</v>
      </c>
      <c r="O438" s="36">
        <f t="shared" si="16"/>
        <v>51</v>
      </c>
      <c r="P438" s="36">
        <f t="shared" si="17"/>
        <v>76</v>
      </c>
    </row>
    <row r="439" ht="15.75" customHeight="1">
      <c r="B439" s="29" t="s">
        <v>833</v>
      </c>
      <c r="C439" s="29" t="s">
        <v>60</v>
      </c>
      <c r="D439" s="262" t="s">
        <v>975</v>
      </c>
      <c r="E439" s="239" t="str">
        <f t="shared" si="12"/>
        <v>Free Agent</v>
      </c>
      <c r="F439" s="240"/>
      <c r="G439" s="263" t="s">
        <v>765</v>
      </c>
      <c r="H439" s="29"/>
      <c r="I439" s="29">
        <f t="shared" si="11"/>
        <v>2025</v>
      </c>
      <c r="J439" s="36"/>
      <c r="K439" s="36">
        <f t="shared" si="5"/>
        <v>1</v>
      </c>
      <c r="L439" s="36">
        <f t="shared" si="13"/>
        <v>6</v>
      </c>
      <c r="M439" s="36">
        <f t="shared" si="14"/>
        <v>16</v>
      </c>
      <c r="N439" s="36">
        <f t="shared" si="15"/>
        <v>31</v>
      </c>
      <c r="O439" s="36">
        <f t="shared" si="16"/>
        <v>51</v>
      </c>
      <c r="P439" s="36">
        <f t="shared" si="17"/>
        <v>76</v>
      </c>
    </row>
    <row r="440" ht="15.75" customHeight="1">
      <c r="B440" s="29" t="s">
        <v>833</v>
      </c>
      <c r="C440" s="29" t="s">
        <v>60</v>
      </c>
      <c r="D440" s="262" t="s">
        <v>976</v>
      </c>
      <c r="E440" s="239" t="str">
        <f t="shared" si="12"/>
        <v>Free Agent</v>
      </c>
      <c r="F440" s="36"/>
      <c r="G440" s="263" t="s">
        <v>765</v>
      </c>
      <c r="H440" s="29"/>
      <c r="I440" s="29">
        <f t="shared" si="11"/>
        <v>2025</v>
      </c>
      <c r="J440" s="36"/>
      <c r="K440" s="36">
        <f t="shared" si="5"/>
        <v>1</v>
      </c>
      <c r="L440" s="36">
        <f t="shared" si="13"/>
        <v>6</v>
      </c>
      <c r="M440" s="36">
        <f t="shared" si="14"/>
        <v>16</v>
      </c>
      <c r="N440" s="36">
        <f t="shared" si="15"/>
        <v>31</v>
      </c>
      <c r="O440" s="36">
        <f t="shared" si="16"/>
        <v>51</v>
      </c>
      <c r="P440" s="36">
        <f t="shared" si="17"/>
        <v>76</v>
      </c>
    </row>
    <row r="441" ht="15.75" customHeight="1">
      <c r="B441" s="29" t="s">
        <v>833</v>
      </c>
      <c r="C441" s="29" t="s">
        <v>60</v>
      </c>
      <c r="D441" s="262" t="s">
        <v>302</v>
      </c>
      <c r="E441" s="239" t="str">
        <f t="shared" si="12"/>
        <v>Free Agent</v>
      </c>
      <c r="F441" s="240"/>
      <c r="G441" s="263" t="s">
        <v>765</v>
      </c>
      <c r="H441" s="29"/>
      <c r="I441" s="29">
        <f t="shared" si="11"/>
        <v>2025</v>
      </c>
      <c r="J441" s="36"/>
      <c r="K441" s="36">
        <f t="shared" si="5"/>
        <v>1</v>
      </c>
      <c r="L441" s="36">
        <f t="shared" si="13"/>
        <v>6</v>
      </c>
      <c r="M441" s="36">
        <f t="shared" si="14"/>
        <v>16</v>
      </c>
      <c r="N441" s="36">
        <f t="shared" si="15"/>
        <v>31</v>
      </c>
      <c r="O441" s="36">
        <f t="shared" si="16"/>
        <v>51</v>
      </c>
      <c r="P441" s="36">
        <f t="shared" si="17"/>
        <v>76</v>
      </c>
    </row>
    <row r="442" ht="15.75" customHeight="1">
      <c r="B442" s="29" t="s">
        <v>833</v>
      </c>
      <c r="C442" s="29" t="s">
        <v>60</v>
      </c>
      <c r="D442" s="262" t="s">
        <v>977</v>
      </c>
      <c r="E442" s="239" t="str">
        <f t="shared" si="12"/>
        <v>Free Agent</v>
      </c>
      <c r="F442" s="240"/>
      <c r="G442" s="263" t="s">
        <v>765</v>
      </c>
      <c r="H442" s="29"/>
      <c r="I442" s="29">
        <f t="shared" si="11"/>
        <v>2025</v>
      </c>
      <c r="J442" s="36"/>
      <c r="K442" s="36">
        <f t="shared" si="5"/>
        <v>1</v>
      </c>
      <c r="L442" s="36">
        <f t="shared" si="13"/>
        <v>6</v>
      </c>
      <c r="M442" s="36">
        <f t="shared" si="14"/>
        <v>16</v>
      </c>
      <c r="N442" s="36">
        <f t="shared" si="15"/>
        <v>31</v>
      </c>
      <c r="O442" s="36">
        <f t="shared" si="16"/>
        <v>51</v>
      </c>
      <c r="P442" s="36">
        <f t="shared" si="17"/>
        <v>76</v>
      </c>
    </row>
    <row r="443" ht="15.75" customHeight="1">
      <c r="B443" s="29" t="s">
        <v>833</v>
      </c>
      <c r="C443" s="50" t="s">
        <v>60</v>
      </c>
      <c r="D443" s="262" t="s">
        <v>978</v>
      </c>
      <c r="E443" s="239" t="str">
        <f t="shared" si="12"/>
        <v>Free Agent</v>
      </c>
      <c r="F443" s="240"/>
      <c r="G443" s="263" t="s">
        <v>765</v>
      </c>
      <c r="H443" s="29"/>
      <c r="I443" s="29">
        <f t="shared" si="11"/>
        <v>2025</v>
      </c>
      <c r="J443" s="36"/>
      <c r="K443" s="36">
        <f t="shared" si="5"/>
        <v>1</v>
      </c>
      <c r="L443" s="36">
        <f t="shared" si="13"/>
        <v>6</v>
      </c>
      <c r="M443" s="36">
        <f t="shared" si="14"/>
        <v>16</v>
      </c>
      <c r="N443" s="36">
        <f t="shared" si="15"/>
        <v>31</v>
      </c>
      <c r="O443" s="36">
        <f t="shared" si="16"/>
        <v>51</v>
      </c>
      <c r="P443" s="36">
        <f t="shared" si="17"/>
        <v>76</v>
      </c>
    </row>
    <row r="444" ht="15.75" customHeight="1">
      <c r="B444" s="29" t="s">
        <v>833</v>
      </c>
      <c r="C444" s="29" t="s">
        <v>60</v>
      </c>
      <c r="D444" s="262" t="s">
        <v>979</v>
      </c>
      <c r="E444" s="239" t="str">
        <f t="shared" si="12"/>
        <v>Free Agent</v>
      </c>
      <c r="F444" s="240"/>
      <c r="G444" s="263" t="s">
        <v>765</v>
      </c>
      <c r="H444" s="29"/>
      <c r="I444" s="29">
        <f t="shared" si="11"/>
        <v>2025</v>
      </c>
      <c r="J444" s="36"/>
      <c r="K444" s="36">
        <f t="shared" si="5"/>
        <v>1</v>
      </c>
      <c r="L444" s="36">
        <f t="shared" si="13"/>
        <v>6</v>
      </c>
      <c r="M444" s="36">
        <f t="shared" si="14"/>
        <v>16</v>
      </c>
      <c r="N444" s="36">
        <f t="shared" si="15"/>
        <v>31</v>
      </c>
      <c r="O444" s="36">
        <f t="shared" si="16"/>
        <v>51</v>
      </c>
      <c r="P444" s="36">
        <f t="shared" si="17"/>
        <v>76</v>
      </c>
    </row>
    <row r="445" ht="15.75" customHeight="1">
      <c r="B445" s="29" t="s">
        <v>833</v>
      </c>
      <c r="C445" s="29" t="s">
        <v>60</v>
      </c>
      <c r="D445" s="262" t="s">
        <v>980</v>
      </c>
      <c r="E445" s="239" t="str">
        <f t="shared" si="12"/>
        <v>Free Agent</v>
      </c>
      <c r="F445" s="240"/>
      <c r="G445" s="263" t="s">
        <v>765</v>
      </c>
      <c r="H445" s="29"/>
      <c r="I445" s="29">
        <f t="shared" si="11"/>
        <v>2025</v>
      </c>
      <c r="J445" s="36"/>
      <c r="K445" s="36">
        <f t="shared" si="5"/>
        <v>1</v>
      </c>
      <c r="L445" s="36">
        <f t="shared" si="13"/>
        <v>6</v>
      </c>
      <c r="M445" s="36">
        <f t="shared" si="14"/>
        <v>16</v>
      </c>
      <c r="N445" s="36">
        <f t="shared" si="15"/>
        <v>31</v>
      </c>
      <c r="O445" s="36">
        <f t="shared" si="16"/>
        <v>51</v>
      </c>
      <c r="P445" s="36">
        <f t="shared" si="17"/>
        <v>76</v>
      </c>
    </row>
    <row r="446" ht="15.75" customHeight="1">
      <c r="B446" s="29" t="s">
        <v>833</v>
      </c>
      <c r="C446" s="29" t="s">
        <v>60</v>
      </c>
      <c r="D446" s="262" t="s">
        <v>320</v>
      </c>
      <c r="E446" s="239" t="str">
        <f t="shared" si="12"/>
        <v>Free Agent</v>
      </c>
      <c r="F446" s="36"/>
      <c r="G446" s="263" t="s">
        <v>765</v>
      </c>
      <c r="H446" s="29"/>
      <c r="I446" s="29">
        <f t="shared" si="11"/>
        <v>2025</v>
      </c>
      <c r="J446" s="36"/>
      <c r="K446" s="36">
        <f t="shared" si="5"/>
        <v>1</v>
      </c>
      <c r="L446" s="36">
        <f t="shared" si="13"/>
        <v>6</v>
      </c>
      <c r="M446" s="36">
        <f t="shared" si="14"/>
        <v>16</v>
      </c>
      <c r="N446" s="36">
        <f t="shared" si="15"/>
        <v>31</v>
      </c>
      <c r="O446" s="36">
        <f t="shared" si="16"/>
        <v>51</v>
      </c>
      <c r="P446" s="36">
        <f t="shared" si="17"/>
        <v>76</v>
      </c>
    </row>
    <row r="447" ht="15.75" customHeight="1">
      <c r="B447" s="29" t="s">
        <v>833</v>
      </c>
      <c r="C447" s="29" t="s">
        <v>60</v>
      </c>
      <c r="D447" s="262" t="s">
        <v>981</v>
      </c>
      <c r="E447" s="239" t="str">
        <f t="shared" si="12"/>
        <v>Free Agent</v>
      </c>
      <c r="F447" s="240"/>
      <c r="G447" s="263" t="s">
        <v>765</v>
      </c>
      <c r="H447" s="29"/>
      <c r="I447" s="29">
        <f t="shared" si="11"/>
        <v>2025</v>
      </c>
      <c r="J447" s="36"/>
      <c r="K447" s="36">
        <f t="shared" si="5"/>
        <v>1</v>
      </c>
      <c r="L447" s="36">
        <f t="shared" si="13"/>
        <v>6</v>
      </c>
      <c r="M447" s="36">
        <f t="shared" si="14"/>
        <v>16</v>
      </c>
      <c r="N447" s="36">
        <f t="shared" si="15"/>
        <v>31</v>
      </c>
      <c r="O447" s="36">
        <f t="shared" si="16"/>
        <v>51</v>
      </c>
      <c r="P447" s="36">
        <f t="shared" si="17"/>
        <v>76</v>
      </c>
    </row>
    <row r="448" ht="15.75" customHeight="1">
      <c r="B448" s="29" t="s">
        <v>833</v>
      </c>
      <c r="C448" s="29" t="s">
        <v>60</v>
      </c>
      <c r="D448" s="268" t="s">
        <v>982</v>
      </c>
      <c r="E448" s="239" t="str">
        <f t="shared" si="12"/>
        <v>Free Agent</v>
      </c>
      <c r="F448" s="240"/>
      <c r="G448" s="263" t="s">
        <v>765</v>
      </c>
      <c r="H448" s="29"/>
      <c r="I448" s="29">
        <f t="shared" si="11"/>
        <v>2025</v>
      </c>
      <c r="J448" s="36"/>
      <c r="K448" s="36">
        <f t="shared" si="5"/>
        <v>1</v>
      </c>
      <c r="L448" s="36">
        <f t="shared" si="13"/>
        <v>6</v>
      </c>
      <c r="M448" s="36">
        <f t="shared" si="14"/>
        <v>16</v>
      </c>
      <c r="N448" s="36">
        <f t="shared" si="15"/>
        <v>31</v>
      </c>
      <c r="O448" s="36">
        <f t="shared" si="16"/>
        <v>51</v>
      </c>
      <c r="P448" s="36">
        <f t="shared" si="17"/>
        <v>76</v>
      </c>
    </row>
    <row r="449" ht="15.75" customHeight="1">
      <c r="B449" s="29" t="s">
        <v>833</v>
      </c>
      <c r="C449" s="29" t="s">
        <v>60</v>
      </c>
      <c r="D449" s="262" t="s">
        <v>983</v>
      </c>
      <c r="E449" s="239" t="str">
        <f t="shared" si="12"/>
        <v>Free Agent</v>
      </c>
      <c r="F449" s="240"/>
      <c r="G449" s="263" t="s">
        <v>765</v>
      </c>
      <c r="H449" s="29"/>
      <c r="I449" s="29">
        <f t="shared" si="11"/>
        <v>2025</v>
      </c>
      <c r="J449" s="36"/>
      <c r="K449" s="36">
        <f t="shared" si="5"/>
        <v>1</v>
      </c>
      <c r="L449" s="36">
        <f t="shared" si="13"/>
        <v>6</v>
      </c>
      <c r="M449" s="36">
        <f t="shared" si="14"/>
        <v>16</v>
      </c>
      <c r="N449" s="36">
        <f t="shared" si="15"/>
        <v>31</v>
      </c>
      <c r="O449" s="36">
        <f t="shared" si="16"/>
        <v>51</v>
      </c>
      <c r="P449" s="36">
        <f t="shared" si="17"/>
        <v>76</v>
      </c>
    </row>
    <row r="450" ht="15.75" customHeight="1">
      <c r="B450" s="29" t="s">
        <v>833</v>
      </c>
      <c r="C450" s="29" t="s">
        <v>60</v>
      </c>
      <c r="D450" s="262" t="s">
        <v>984</v>
      </c>
      <c r="E450" s="239" t="str">
        <f t="shared" si="12"/>
        <v>Free Agent</v>
      </c>
      <c r="F450" s="240"/>
      <c r="G450" s="263" t="s">
        <v>765</v>
      </c>
      <c r="H450" s="29"/>
      <c r="I450" s="29">
        <f t="shared" si="11"/>
        <v>2025</v>
      </c>
      <c r="J450" s="36"/>
      <c r="K450" s="36">
        <f t="shared" si="5"/>
        <v>1</v>
      </c>
      <c r="L450" s="36">
        <f t="shared" si="13"/>
        <v>6</v>
      </c>
      <c r="M450" s="36">
        <f t="shared" si="14"/>
        <v>16</v>
      </c>
      <c r="N450" s="36">
        <f t="shared" si="15"/>
        <v>31</v>
      </c>
      <c r="O450" s="36">
        <f t="shared" si="16"/>
        <v>51</v>
      </c>
      <c r="P450" s="36">
        <f t="shared" si="17"/>
        <v>76</v>
      </c>
    </row>
    <row r="451" ht="15.75" customHeight="1">
      <c r="B451" s="29" t="s">
        <v>833</v>
      </c>
      <c r="C451" s="29" t="s">
        <v>60</v>
      </c>
      <c r="D451" s="262" t="s">
        <v>985</v>
      </c>
      <c r="E451" s="239" t="str">
        <f t="shared" si="12"/>
        <v>Free Agent</v>
      </c>
      <c r="F451" s="240"/>
      <c r="G451" s="263" t="s">
        <v>765</v>
      </c>
      <c r="H451" s="29"/>
      <c r="I451" s="29">
        <f t="shared" si="11"/>
        <v>2025</v>
      </c>
      <c r="J451" s="36"/>
      <c r="K451" s="36">
        <f t="shared" si="5"/>
        <v>1</v>
      </c>
      <c r="L451" s="36">
        <f t="shared" si="13"/>
        <v>6</v>
      </c>
      <c r="M451" s="36">
        <f t="shared" si="14"/>
        <v>16</v>
      </c>
      <c r="N451" s="36">
        <f t="shared" si="15"/>
        <v>31</v>
      </c>
      <c r="O451" s="36">
        <f t="shared" si="16"/>
        <v>51</v>
      </c>
      <c r="P451" s="36">
        <f t="shared" si="17"/>
        <v>76</v>
      </c>
    </row>
    <row r="452" ht="15.75" customHeight="1">
      <c r="B452" s="29" t="s">
        <v>833</v>
      </c>
      <c r="C452" s="29" t="s">
        <v>60</v>
      </c>
      <c r="D452" s="262" t="s">
        <v>986</v>
      </c>
      <c r="E452" s="239" t="str">
        <f t="shared" si="12"/>
        <v>Free Agent</v>
      </c>
      <c r="F452" s="240"/>
      <c r="G452" s="263" t="s">
        <v>765</v>
      </c>
      <c r="H452" s="29"/>
      <c r="I452" s="29">
        <f t="shared" si="11"/>
        <v>2025</v>
      </c>
      <c r="J452" s="36"/>
      <c r="K452" s="36">
        <f t="shared" si="5"/>
        <v>1</v>
      </c>
      <c r="L452" s="36">
        <f t="shared" si="13"/>
        <v>6</v>
      </c>
      <c r="M452" s="36">
        <f t="shared" si="14"/>
        <v>16</v>
      </c>
      <c r="N452" s="36">
        <f t="shared" si="15"/>
        <v>31</v>
      </c>
      <c r="O452" s="36">
        <f t="shared" si="16"/>
        <v>51</v>
      </c>
      <c r="P452" s="36">
        <f t="shared" si="17"/>
        <v>76</v>
      </c>
    </row>
    <row r="453" ht="15.75" customHeight="1">
      <c r="B453" s="29" t="s">
        <v>833</v>
      </c>
      <c r="C453" s="29" t="s">
        <v>60</v>
      </c>
      <c r="D453" s="262" t="s">
        <v>987</v>
      </c>
      <c r="E453" s="239" t="str">
        <f t="shared" si="12"/>
        <v>Free Agent</v>
      </c>
      <c r="F453" s="36"/>
      <c r="G453" s="263" t="s">
        <v>765</v>
      </c>
      <c r="H453" s="29"/>
      <c r="I453" s="29">
        <f t="shared" si="11"/>
        <v>2025</v>
      </c>
      <c r="J453" s="36"/>
      <c r="K453" s="36">
        <f t="shared" si="5"/>
        <v>1</v>
      </c>
      <c r="L453" s="36">
        <f t="shared" si="13"/>
        <v>6</v>
      </c>
      <c r="M453" s="36">
        <f t="shared" si="14"/>
        <v>16</v>
      </c>
      <c r="N453" s="36">
        <f t="shared" si="15"/>
        <v>31</v>
      </c>
      <c r="O453" s="36">
        <f t="shared" si="16"/>
        <v>51</v>
      </c>
      <c r="P453" s="36">
        <f t="shared" si="17"/>
        <v>76</v>
      </c>
    </row>
    <row r="454" ht="15.75" customHeight="1">
      <c r="B454" s="29" t="s">
        <v>833</v>
      </c>
      <c r="C454" s="29" t="s">
        <v>60</v>
      </c>
      <c r="D454" s="268" t="s">
        <v>988</v>
      </c>
      <c r="E454" s="239" t="str">
        <f t="shared" si="12"/>
        <v>Free Agent</v>
      </c>
      <c r="F454" s="240"/>
      <c r="G454" s="263" t="s">
        <v>765</v>
      </c>
      <c r="H454" s="29"/>
      <c r="I454" s="29">
        <f t="shared" si="11"/>
        <v>2025</v>
      </c>
      <c r="J454" s="36"/>
      <c r="K454" s="36">
        <f t="shared" si="5"/>
        <v>1</v>
      </c>
      <c r="L454" s="36">
        <f t="shared" si="13"/>
        <v>6</v>
      </c>
      <c r="M454" s="36">
        <f t="shared" si="14"/>
        <v>16</v>
      </c>
      <c r="N454" s="36">
        <f t="shared" si="15"/>
        <v>31</v>
      </c>
      <c r="O454" s="36">
        <f t="shared" si="16"/>
        <v>51</v>
      </c>
      <c r="P454" s="36">
        <f t="shared" si="17"/>
        <v>76</v>
      </c>
    </row>
    <row r="455" ht="15.75" customHeight="1">
      <c r="B455" s="29" t="s">
        <v>833</v>
      </c>
      <c r="C455" s="29" t="s">
        <v>60</v>
      </c>
      <c r="D455" s="262" t="s">
        <v>989</v>
      </c>
      <c r="E455" s="239" t="str">
        <f t="shared" si="12"/>
        <v>Free Agent</v>
      </c>
      <c r="F455" s="36"/>
      <c r="G455" s="263" t="s">
        <v>765</v>
      </c>
      <c r="H455" s="29"/>
      <c r="I455" s="29">
        <f t="shared" si="11"/>
        <v>2025</v>
      </c>
      <c r="J455" s="36"/>
      <c r="K455" s="36">
        <f t="shared" si="5"/>
        <v>1</v>
      </c>
      <c r="L455" s="36">
        <f t="shared" si="13"/>
        <v>6</v>
      </c>
      <c r="M455" s="36">
        <f t="shared" si="14"/>
        <v>16</v>
      </c>
      <c r="N455" s="36">
        <f t="shared" si="15"/>
        <v>31</v>
      </c>
      <c r="O455" s="36">
        <f t="shared" si="16"/>
        <v>51</v>
      </c>
      <c r="P455" s="36">
        <f t="shared" si="17"/>
        <v>76</v>
      </c>
    </row>
    <row r="456" ht="15.75" customHeight="1">
      <c r="B456" s="29" t="s">
        <v>833</v>
      </c>
      <c r="C456" s="29" t="s">
        <v>60</v>
      </c>
      <c r="D456" s="262" t="s">
        <v>990</v>
      </c>
      <c r="E456" s="239">
        <f t="shared" si="12"/>
        <v>6</v>
      </c>
      <c r="F456" s="240">
        <v>1.0</v>
      </c>
      <c r="G456" s="263" t="s">
        <v>48</v>
      </c>
      <c r="H456" s="29">
        <v>2023.0</v>
      </c>
      <c r="I456" s="29">
        <f t="shared" si="11"/>
        <v>2</v>
      </c>
      <c r="J456" s="36"/>
      <c r="K456" s="36">
        <f t="shared" si="5"/>
        <v>1</v>
      </c>
      <c r="L456" s="36">
        <f t="shared" si="13"/>
        <v>6</v>
      </c>
      <c r="M456" s="36">
        <f t="shared" si="14"/>
        <v>16</v>
      </c>
      <c r="N456" s="36">
        <f t="shared" si="15"/>
        <v>31</v>
      </c>
      <c r="O456" s="36">
        <f t="shared" si="16"/>
        <v>51</v>
      </c>
      <c r="P456" s="36">
        <f t="shared" si="17"/>
        <v>76</v>
      </c>
    </row>
    <row r="457" ht="15.75" customHeight="1">
      <c r="B457" s="29" t="s">
        <v>833</v>
      </c>
      <c r="C457" s="29" t="s">
        <v>760</v>
      </c>
      <c r="D457" s="262" t="s">
        <v>630</v>
      </c>
      <c r="E457" s="239" t="str">
        <f t="shared" si="12"/>
        <v>Free Agent</v>
      </c>
      <c r="F457" s="240"/>
      <c r="G457" s="263" t="s">
        <v>765</v>
      </c>
      <c r="H457" s="29"/>
      <c r="I457" s="29">
        <f t="shared" si="11"/>
        <v>2025</v>
      </c>
      <c r="J457" s="36"/>
      <c r="K457" s="36">
        <f t="shared" si="5"/>
        <v>1</v>
      </c>
      <c r="L457" s="36">
        <f t="shared" si="13"/>
        <v>6</v>
      </c>
      <c r="M457" s="36">
        <f t="shared" si="14"/>
        <v>16</v>
      </c>
      <c r="N457" s="36">
        <f t="shared" si="15"/>
        <v>31</v>
      </c>
      <c r="O457" s="36">
        <f t="shared" si="16"/>
        <v>51</v>
      </c>
      <c r="P457" s="36">
        <f t="shared" si="17"/>
        <v>76</v>
      </c>
    </row>
    <row r="458" ht="15.75" customHeight="1">
      <c r="B458" s="29" t="s">
        <v>833</v>
      </c>
      <c r="C458" s="29" t="s">
        <v>760</v>
      </c>
      <c r="D458" s="262" t="s">
        <v>679</v>
      </c>
      <c r="E458" s="239" t="str">
        <f t="shared" si="12"/>
        <v>Free Agent</v>
      </c>
      <c r="F458" s="240"/>
      <c r="G458" s="263" t="s">
        <v>765</v>
      </c>
      <c r="H458" s="29"/>
      <c r="I458" s="29">
        <f t="shared" si="11"/>
        <v>2025</v>
      </c>
      <c r="J458" s="36"/>
      <c r="K458" s="36">
        <f t="shared" si="5"/>
        <v>1</v>
      </c>
      <c r="L458" s="36">
        <f t="shared" si="13"/>
        <v>6</v>
      </c>
      <c r="M458" s="36">
        <f t="shared" si="14"/>
        <v>16</v>
      </c>
      <c r="N458" s="36">
        <f t="shared" si="15"/>
        <v>31</v>
      </c>
      <c r="O458" s="36">
        <f t="shared" si="16"/>
        <v>51</v>
      </c>
      <c r="P458" s="36">
        <f t="shared" si="17"/>
        <v>76</v>
      </c>
    </row>
    <row r="459" ht="15.75" customHeight="1">
      <c r="J459" s="269">
        <v>16.0</v>
      </c>
    </row>
    <row r="460" ht="15.75" customHeight="1">
      <c r="J460" s="269">
        <v>7.0</v>
      </c>
    </row>
    <row r="461" ht="15.75" customHeight="1">
      <c r="J461" s="269">
        <v>6.0</v>
      </c>
    </row>
    <row r="462" ht="15.75" customHeight="1">
      <c r="J462" s="269">
        <v>7.0</v>
      </c>
    </row>
    <row r="463" ht="15.75" customHeight="1">
      <c r="J463" s="269">
        <v>16.0</v>
      </c>
    </row>
    <row r="464" ht="15.75" customHeight="1">
      <c r="J464" s="269">
        <v>9.0</v>
      </c>
    </row>
    <row r="465" ht="15.75" customHeight="1">
      <c r="J465" s="269">
        <v>6.0</v>
      </c>
    </row>
    <row r="466" ht="15.75" customHeight="1">
      <c r="J466" s="269">
        <v>7.0</v>
      </c>
    </row>
    <row r="467" ht="15.75" customHeight="1">
      <c r="J467" s="269">
        <v>6.0</v>
      </c>
    </row>
    <row r="468" ht="15.75" customHeight="1">
      <c r="J468" s="269">
        <v>7.0</v>
      </c>
    </row>
    <row r="469" ht="15.75" customHeight="1">
      <c r="J469" s="269">
        <v>10.0</v>
      </c>
    </row>
    <row r="470" ht="15.75" customHeight="1">
      <c r="J470" s="269">
        <v>10.0</v>
      </c>
    </row>
    <row r="471" ht="15.75" customHeight="1">
      <c r="J471" s="269">
        <v>6.0</v>
      </c>
    </row>
    <row r="472" ht="15.75" customHeight="1">
      <c r="J472" s="269">
        <v>7.0</v>
      </c>
    </row>
    <row r="473" ht="15.75" customHeight="1">
      <c r="J473" s="269">
        <v>7.0</v>
      </c>
    </row>
    <row r="474" ht="15.75" customHeight="1">
      <c r="J474" s="269">
        <v>30.0</v>
      </c>
    </row>
    <row r="475" ht="15.75" customHeight="1">
      <c r="J475" s="269">
        <v>7.0</v>
      </c>
    </row>
    <row r="476" ht="15.75" customHeight="1">
      <c r="J476" s="269">
        <v>7.0</v>
      </c>
    </row>
    <row r="477" ht="15.75" customHeight="1">
      <c r="J477" s="269">
        <v>7.0</v>
      </c>
    </row>
    <row r="478" ht="15.75" customHeight="1">
      <c r="J478" s="269">
        <v>17.0</v>
      </c>
    </row>
    <row r="479" ht="15.75" customHeight="1">
      <c r="J479" s="269">
        <v>7.0</v>
      </c>
    </row>
    <row r="480" ht="15.75" customHeight="1">
      <c r="J480" s="269">
        <v>6.0</v>
      </c>
    </row>
    <row r="481" ht="15.75" customHeight="1">
      <c r="J481" s="269">
        <v>39.0</v>
      </c>
    </row>
    <row r="482" ht="15.75" customHeight="1">
      <c r="J482" s="269">
        <v>31.0</v>
      </c>
    </row>
    <row r="483" ht="15.75" customHeight="1">
      <c r="J483" s="269">
        <v>17.0</v>
      </c>
    </row>
    <row r="484" ht="15.75" customHeight="1">
      <c r="J484" s="269">
        <v>7.0</v>
      </c>
    </row>
    <row r="485" ht="15.75" customHeight="1">
      <c r="J485" s="269">
        <v>45.0</v>
      </c>
    </row>
    <row r="486" ht="15.75" customHeight="1">
      <c r="J486" s="269">
        <v>17.0</v>
      </c>
    </row>
    <row r="487" ht="15.75" customHeight="1">
      <c r="J487" s="269">
        <v>6.0</v>
      </c>
    </row>
    <row r="488" ht="15.75" customHeight="1">
      <c r="J488" s="269">
        <v>6.0</v>
      </c>
    </row>
    <row r="489" ht="15.75" customHeight="1">
      <c r="J489" s="269">
        <v>34.0</v>
      </c>
    </row>
    <row r="490" ht="15.75" customHeight="1">
      <c r="J490" s="269">
        <v>6.0</v>
      </c>
    </row>
    <row r="491" ht="15.75" customHeight="1">
      <c r="J491" s="269">
        <v>7.0</v>
      </c>
    </row>
    <row r="492" ht="15.75" customHeight="1">
      <c r="J492" s="269">
        <v>7.0</v>
      </c>
    </row>
    <row r="493" ht="15.75" customHeight="1">
      <c r="J493" s="269">
        <v>29.0</v>
      </c>
    </row>
    <row r="494" ht="15.75" customHeight="1">
      <c r="J494" s="269">
        <v>32.0</v>
      </c>
    </row>
    <row r="495" ht="15.75" customHeight="1">
      <c r="J495" s="269">
        <v>19.0</v>
      </c>
    </row>
    <row r="496" ht="15.75" customHeight="1">
      <c r="J496" s="269">
        <v>17.0</v>
      </c>
    </row>
    <row r="497" ht="15.75" customHeight="1">
      <c r="J497" s="269">
        <v>29.0</v>
      </c>
    </row>
    <row r="498" ht="15.75" customHeight="1">
      <c r="J498" s="269">
        <v>6.0</v>
      </c>
    </row>
    <row r="499" ht="15.75" customHeight="1">
      <c r="J499" s="269">
        <v>25.0</v>
      </c>
    </row>
    <row r="500" ht="15.75" customHeight="1">
      <c r="J500" s="269">
        <v>6.0</v>
      </c>
    </row>
    <row r="501" ht="15.75" customHeight="1">
      <c r="J501" s="269">
        <v>47.0</v>
      </c>
    </row>
    <row r="502" ht="15.75" customHeight="1">
      <c r="J502" s="269">
        <v>35.0</v>
      </c>
    </row>
    <row r="503" ht="15.75" customHeight="1">
      <c r="J503" s="269">
        <v>15.0</v>
      </c>
    </row>
    <row r="504" ht="15.75" customHeight="1">
      <c r="J504" s="269">
        <v>16.0</v>
      </c>
    </row>
    <row r="505" ht="15.75" customHeight="1">
      <c r="J505" s="269">
        <v>16.0</v>
      </c>
    </row>
    <row r="506" ht="15.75" customHeight="1">
      <c r="J506" s="269">
        <v>20.0</v>
      </c>
    </row>
    <row r="507" ht="15.75" customHeight="1">
      <c r="J507" s="269">
        <v>17.0</v>
      </c>
    </row>
    <row r="508" ht="15.75" customHeight="1">
      <c r="J508" s="269">
        <v>7.0</v>
      </c>
    </row>
    <row r="509" ht="15.75" customHeight="1">
      <c r="J509" s="269">
        <v>25.0</v>
      </c>
    </row>
    <row r="510" ht="15.75" customHeight="1">
      <c r="J510" s="269">
        <v>17.0</v>
      </c>
    </row>
    <row r="511" ht="15.75" customHeight="1">
      <c r="J511" s="269">
        <v>16.0</v>
      </c>
    </row>
    <row r="512" ht="15.75" customHeight="1">
      <c r="J512" s="269">
        <v>16.0</v>
      </c>
    </row>
    <row r="513" ht="15.75" customHeight="1">
      <c r="J513" s="269">
        <v>8.0</v>
      </c>
    </row>
    <row r="514" ht="15.75" customHeight="1">
      <c r="J514" s="269">
        <v>51.0</v>
      </c>
    </row>
    <row r="515" ht="15.75" customHeight="1">
      <c r="J515" s="269">
        <v>7.0</v>
      </c>
    </row>
    <row r="516" ht="15.75" customHeight="1">
      <c r="J516" s="269">
        <v>7.0</v>
      </c>
    </row>
    <row r="517" ht="15.75" customHeight="1">
      <c r="J517" s="269">
        <v>10.0</v>
      </c>
    </row>
    <row r="518" ht="15.75" customHeight="1">
      <c r="J518" s="269">
        <v>7.0</v>
      </c>
    </row>
    <row r="519" ht="15.75" customHeight="1">
      <c r="J519" s="269">
        <v>6.0</v>
      </c>
    </row>
    <row r="520" ht="15.75" customHeight="1">
      <c r="J520" s="269">
        <v>7.0</v>
      </c>
    </row>
    <row r="521" ht="15.75" customHeight="1">
      <c r="J521" s="269">
        <v>6.0</v>
      </c>
    </row>
    <row r="522" ht="15.75" customHeight="1">
      <c r="J522" s="269">
        <v>7.0</v>
      </c>
    </row>
    <row r="523" ht="15.75" customHeight="1">
      <c r="J523" s="269">
        <v>18.0</v>
      </c>
    </row>
    <row r="524" ht="15.75" customHeight="1">
      <c r="J524" s="269">
        <v>17.0</v>
      </c>
    </row>
    <row r="525" ht="15.75" customHeight="1">
      <c r="J525" s="269">
        <v>6.0</v>
      </c>
    </row>
    <row r="526" ht="15.75" customHeight="1">
      <c r="J526" s="269">
        <v>7.0</v>
      </c>
    </row>
    <row r="527" ht="15.75" customHeight="1">
      <c r="J527" s="269">
        <v>7.0</v>
      </c>
    </row>
    <row r="528" ht="15.75" customHeight="1">
      <c r="J528" s="269">
        <v>7.0</v>
      </c>
    </row>
    <row r="529" ht="15.75" customHeight="1">
      <c r="J529" s="269">
        <v>7.0</v>
      </c>
    </row>
    <row r="530" ht="15.75" customHeight="1">
      <c r="J530" s="269">
        <v>12.0</v>
      </c>
    </row>
    <row r="531" ht="15.75" customHeight="1">
      <c r="J531" s="269">
        <v>24.0</v>
      </c>
    </row>
    <row r="532" ht="15.75" customHeight="1">
      <c r="J532" s="269">
        <v>16.0</v>
      </c>
    </row>
    <row r="533" ht="15.75" customHeight="1">
      <c r="J533" s="269">
        <v>6.0</v>
      </c>
    </row>
    <row r="534" ht="15.75" customHeight="1">
      <c r="J534" s="269">
        <v>7.0</v>
      </c>
    </row>
    <row r="535" ht="15.75" customHeight="1">
      <c r="J535" s="269">
        <v>7.0</v>
      </c>
    </row>
    <row r="536" ht="15.75" customHeight="1">
      <c r="J536" s="269">
        <v>9.0</v>
      </c>
    </row>
    <row r="537" ht="15.75" customHeight="1">
      <c r="J537" s="269">
        <v>6.0</v>
      </c>
    </row>
    <row r="538" ht="15.75" customHeight="1">
      <c r="J538" s="269">
        <v>10.0</v>
      </c>
    </row>
    <row r="539" ht="15.75" customHeight="1">
      <c r="J539" s="269">
        <v>56.0</v>
      </c>
    </row>
    <row r="540" ht="15.75" customHeight="1">
      <c r="J540" s="269">
        <v>21.0</v>
      </c>
    </row>
    <row r="541" ht="15.75" customHeight="1">
      <c r="J541" s="269">
        <v>7.0</v>
      </c>
    </row>
    <row r="542" ht="15.75" customHeight="1">
      <c r="J542" s="269">
        <v>7.0</v>
      </c>
    </row>
    <row r="543" ht="15.75" customHeight="1">
      <c r="J543" s="269">
        <v>7.0</v>
      </c>
    </row>
    <row r="544" ht="15.75" customHeight="1">
      <c r="J544" s="269">
        <v>7.0</v>
      </c>
    </row>
    <row r="545" ht="15.75" customHeight="1">
      <c r="J545" s="269">
        <v>17.0</v>
      </c>
    </row>
    <row r="546" ht="15.75" customHeight="1">
      <c r="J546" s="269">
        <v>34.0</v>
      </c>
    </row>
    <row r="547" ht="15.75" customHeight="1">
      <c r="J547" s="269">
        <v>19.0</v>
      </c>
    </row>
    <row r="548" ht="15.75" customHeight="1">
      <c r="J548" s="269">
        <v>16.0</v>
      </c>
    </row>
    <row r="549" ht="15.75" customHeight="1">
      <c r="J549" s="269">
        <v>7.0</v>
      </c>
    </row>
    <row r="550" ht="15.75" customHeight="1">
      <c r="J550" s="269">
        <v>7.0</v>
      </c>
    </row>
    <row r="551" ht="15.75" customHeight="1">
      <c r="J551" s="269">
        <v>12.0</v>
      </c>
    </row>
    <row r="552" ht="15.75" customHeight="1">
      <c r="J552" s="269">
        <v>17.0</v>
      </c>
    </row>
    <row r="553" ht="15.75" customHeight="1">
      <c r="J553" s="269">
        <v>7.0</v>
      </c>
    </row>
    <row r="554" ht="15.75" customHeight="1">
      <c r="J554" s="269">
        <v>7.0</v>
      </c>
    </row>
    <row r="555" ht="15.75" customHeight="1">
      <c r="J555" s="269">
        <v>17.0</v>
      </c>
    </row>
    <row r="556" ht="15.75" customHeight="1">
      <c r="J556" s="269">
        <v>17.0</v>
      </c>
    </row>
    <row r="557" ht="15.75" customHeight="1">
      <c r="J557" s="269">
        <v>7.0</v>
      </c>
    </row>
    <row r="558" ht="15.75" customHeight="1">
      <c r="J558" s="269">
        <v>6.0</v>
      </c>
    </row>
    <row r="559" ht="15.75" customHeight="1">
      <c r="J559" s="269">
        <v>7.0</v>
      </c>
    </row>
    <row r="560" ht="15.75" customHeight="1">
      <c r="J560" s="269">
        <v>15.0</v>
      </c>
    </row>
    <row r="561" ht="15.75" customHeight="1">
      <c r="J561" s="269">
        <v>18.0</v>
      </c>
    </row>
    <row r="562" ht="15.75" customHeight="1">
      <c r="J562" s="269">
        <v>7.0</v>
      </c>
    </row>
    <row r="563" ht="15.75" customHeight="1">
      <c r="J563" s="269">
        <v>7.0</v>
      </c>
    </row>
    <row r="564" ht="15.75" customHeight="1">
      <c r="J564" s="269">
        <v>66.0</v>
      </c>
    </row>
    <row r="565" ht="15.75" customHeight="1">
      <c r="J565" s="269">
        <v>16.0</v>
      </c>
    </row>
    <row r="566" ht="15.75" customHeight="1">
      <c r="J566" s="269">
        <v>6.0</v>
      </c>
    </row>
    <row r="567" ht="15.75" customHeight="1">
      <c r="J567" s="269">
        <v>6.0</v>
      </c>
    </row>
    <row r="568" ht="15.75" customHeight="1">
      <c r="J568" s="269">
        <v>6.0</v>
      </c>
    </row>
    <row r="569" ht="15.75" customHeight="1">
      <c r="J569" s="269">
        <v>7.0</v>
      </c>
    </row>
    <row r="570" ht="15.75" customHeight="1">
      <c r="J570" s="269">
        <v>7.0</v>
      </c>
    </row>
    <row r="571" ht="15.75" customHeight="1">
      <c r="J571" s="269">
        <v>21.0</v>
      </c>
    </row>
    <row r="572" ht="15.75" customHeight="1">
      <c r="J572" s="269">
        <v>7.0</v>
      </c>
    </row>
    <row r="573" ht="15.75" customHeight="1">
      <c r="J573" s="269">
        <v>7.0</v>
      </c>
    </row>
    <row r="574" ht="15.75" customHeight="1">
      <c r="J574" s="269">
        <v>7.0</v>
      </c>
    </row>
    <row r="575" ht="15.75" customHeight="1">
      <c r="J575" s="269">
        <v>7.0</v>
      </c>
    </row>
    <row r="576" ht="15.75" customHeight="1">
      <c r="J576" s="269">
        <v>7.0</v>
      </c>
    </row>
    <row r="577" ht="15.75" customHeight="1">
      <c r="J577" s="269">
        <v>7.0</v>
      </c>
    </row>
    <row r="578" ht="15.75" customHeight="1">
      <c r="J578" s="269">
        <v>6.0</v>
      </c>
    </row>
    <row r="579" ht="15.75" customHeight="1">
      <c r="J579" s="269">
        <v>7.0</v>
      </c>
    </row>
    <row r="580" ht="15.75" customHeight="1">
      <c r="J580" s="269">
        <v>15.0</v>
      </c>
    </row>
    <row r="581" ht="15.75" customHeight="1">
      <c r="J581" s="269">
        <v>66.0</v>
      </c>
    </row>
    <row r="582" ht="15.75" customHeight="1">
      <c r="J582" s="269">
        <v>7.0</v>
      </c>
    </row>
    <row r="583" ht="15.75" customHeight="1">
      <c r="J583" s="269">
        <v>7.0</v>
      </c>
    </row>
    <row r="584" ht="15.75" customHeight="1">
      <c r="J584" s="269">
        <v>7.0</v>
      </c>
    </row>
    <row r="585" ht="15.75" customHeight="1">
      <c r="J585" s="269">
        <v>8.0</v>
      </c>
    </row>
    <row r="586" ht="15.75" customHeight="1">
      <c r="J586" s="269">
        <v>62.0</v>
      </c>
    </row>
    <row r="587" ht="15.75" customHeight="1">
      <c r="J587" s="269">
        <v>31.0</v>
      </c>
    </row>
    <row r="588" ht="15.75" customHeight="1">
      <c r="J588" s="269">
        <v>20.0</v>
      </c>
    </row>
    <row r="589" ht="15.75" customHeight="1">
      <c r="J589" s="269">
        <v>8.0</v>
      </c>
    </row>
    <row r="590" ht="15.75" customHeight="1">
      <c r="J590" s="269">
        <v>21.0</v>
      </c>
    </row>
    <row r="591" ht="15.75" customHeight="1">
      <c r="J591" s="269">
        <v>7.0</v>
      </c>
    </row>
    <row r="592" ht="15.75" customHeight="1">
      <c r="J592" s="269">
        <v>7.0</v>
      </c>
    </row>
    <row r="593" ht="15.75" customHeight="1">
      <c r="J593" s="269">
        <v>36.0</v>
      </c>
    </row>
    <row r="594" ht="15.75" customHeight="1">
      <c r="J594" s="269">
        <v>32.0</v>
      </c>
    </row>
    <row r="595" ht="15.75" customHeight="1">
      <c r="J595" s="269">
        <v>31.0</v>
      </c>
    </row>
    <row r="596" ht="15.75" customHeight="1">
      <c r="J596" s="269">
        <v>8.0</v>
      </c>
    </row>
    <row r="597" ht="15.75" customHeight="1">
      <c r="J597" s="269">
        <v>7.0</v>
      </c>
    </row>
    <row r="598" ht="15.75" customHeight="1">
      <c r="J598" s="269">
        <v>38.0</v>
      </c>
    </row>
    <row r="599" ht="15.75" customHeight="1">
      <c r="J599" s="269">
        <v>6.0</v>
      </c>
    </row>
    <row r="600" ht="15.75" customHeight="1">
      <c r="J600" s="269">
        <v>6.0</v>
      </c>
    </row>
    <row r="601" ht="15.75" customHeight="1">
      <c r="J601" s="269">
        <v>40.0</v>
      </c>
    </row>
    <row r="602" ht="15.75" customHeight="1">
      <c r="J602" s="269">
        <v>8.0</v>
      </c>
    </row>
    <row r="603" ht="15.75" customHeight="1">
      <c r="J603" s="269">
        <v>7.0</v>
      </c>
    </row>
    <row r="604" ht="15.75" customHeight="1">
      <c r="J604" s="269">
        <v>7.0</v>
      </c>
    </row>
    <row r="605" ht="15.75" customHeight="1">
      <c r="J605" s="269">
        <v>62.0</v>
      </c>
    </row>
    <row r="606" ht="15.75" customHeight="1">
      <c r="J606" s="269">
        <v>33.0</v>
      </c>
    </row>
    <row r="607" ht="15.75" customHeight="1">
      <c r="J607" s="269">
        <v>24.0</v>
      </c>
    </row>
    <row r="608" ht="15.75" customHeight="1">
      <c r="J608" s="269">
        <v>6.0</v>
      </c>
    </row>
    <row r="609" ht="15.75" customHeight="1">
      <c r="J609" s="269">
        <v>16.0</v>
      </c>
    </row>
    <row r="610" ht="15.75" customHeight="1">
      <c r="J610" s="269">
        <v>52.0</v>
      </c>
    </row>
    <row r="611" ht="15.75" customHeight="1">
      <c r="J611" s="269">
        <v>54.0</v>
      </c>
    </row>
    <row r="612" ht="15.75" customHeight="1">
      <c r="J612" s="269">
        <v>52.0</v>
      </c>
    </row>
    <row r="613" ht="15.75" customHeight="1">
      <c r="J613" s="269">
        <v>6.0</v>
      </c>
    </row>
    <row r="614" ht="15.75" customHeight="1">
      <c r="J614" s="269">
        <v>7.0</v>
      </c>
    </row>
    <row r="615" ht="15.75" customHeight="1">
      <c r="J615" s="269">
        <v>7.0</v>
      </c>
    </row>
    <row r="616" ht="15.75" customHeight="1">
      <c r="J616" s="269">
        <v>7.0</v>
      </c>
    </row>
    <row r="617" ht="15.75" customHeight="1">
      <c r="J617" s="269">
        <v>60.0</v>
      </c>
    </row>
    <row r="618" ht="15.75" customHeight="1">
      <c r="J618" s="269">
        <v>7.0</v>
      </c>
    </row>
    <row r="619" ht="15.75" customHeight="1">
      <c r="J619" s="269">
        <v>6.0</v>
      </c>
    </row>
    <row r="620" ht="15.75" customHeight="1">
      <c r="J620" s="269">
        <v>14.0</v>
      </c>
    </row>
    <row r="621" ht="15.75" customHeight="1">
      <c r="J621" s="269">
        <v>16.0</v>
      </c>
    </row>
    <row r="622" ht="15.75" customHeight="1">
      <c r="J622" s="269">
        <v>51.0</v>
      </c>
    </row>
    <row r="623" ht="15.75" customHeight="1">
      <c r="J623" s="269">
        <v>8.0</v>
      </c>
    </row>
    <row r="624" ht="15.75" customHeight="1">
      <c r="J624" s="269">
        <v>16.0</v>
      </c>
    </row>
    <row r="625" ht="15.75" customHeight="1">
      <c r="J625" s="269">
        <v>6.0</v>
      </c>
    </row>
    <row r="626" ht="15.75" customHeight="1">
      <c r="J626" s="269">
        <v>6.0</v>
      </c>
    </row>
    <row r="627" ht="15.75" customHeight="1">
      <c r="J627" s="269">
        <v>7.0</v>
      </c>
    </row>
    <row r="628" ht="15.75" customHeight="1">
      <c r="J628" s="269">
        <v>7.0</v>
      </c>
    </row>
    <row r="629" ht="15.75" customHeight="1">
      <c r="J629" s="269">
        <v>7.0</v>
      </c>
    </row>
    <row r="630" ht="15.75" customHeight="1">
      <c r="J630" s="269">
        <v>77.0</v>
      </c>
    </row>
    <row r="631" ht="15.75" customHeight="1">
      <c r="J631" s="269">
        <v>10.0</v>
      </c>
    </row>
    <row r="632" ht="15.75" customHeight="1">
      <c r="J632" s="269">
        <v>10.0</v>
      </c>
    </row>
    <row r="633" ht="15.75" customHeight="1">
      <c r="J633" s="269">
        <v>7.0</v>
      </c>
    </row>
    <row r="634" ht="15.75" customHeight="1">
      <c r="J634" s="269">
        <v>6.0</v>
      </c>
    </row>
    <row r="635" ht="15.75" customHeight="1">
      <c r="J635" s="269">
        <v>7.0</v>
      </c>
    </row>
    <row r="636" ht="15.75" customHeight="1">
      <c r="J636" s="269">
        <v>7.0</v>
      </c>
    </row>
    <row r="637" ht="15.75" customHeight="1">
      <c r="J637" s="269">
        <v>7.0</v>
      </c>
    </row>
    <row r="638" ht="15.75" customHeight="1">
      <c r="J638" s="269">
        <v>8.0</v>
      </c>
    </row>
    <row r="639" ht="15.75" customHeight="1">
      <c r="J639" s="269">
        <v>7.0</v>
      </c>
    </row>
    <row r="640" ht="15.75" customHeight="1">
      <c r="J640" s="269">
        <v>6.0</v>
      </c>
    </row>
    <row r="641" ht="15.75" customHeight="1">
      <c r="J641" s="269">
        <v>7.0</v>
      </c>
    </row>
    <row r="642" ht="15.75" customHeight="1">
      <c r="J642" s="269">
        <v>107.0</v>
      </c>
    </row>
    <row r="643" ht="15.75" customHeight="1">
      <c r="J643" s="269">
        <v>16.0</v>
      </c>
    </row>
    <row r="644" ht="15.75" customHeight="1">
      <c r="J644" s="269">
        <v>59.0</v>
      </c>
    </row>
    <row r="645" ht="15.75" customHeight="1">
      <c r="J645" s="269">
        <v>7.0</v>
      </c>
    </row>
    <row r="646" ht="15.75" customHeight="1">
      <c r="J646" s="269">
        <v>7.0</v>
      </c>
    </row>
    <row r="647" ht="15.75" customHeight="1">
      <c r="J647" s="269">
        <v>7.0</v>
      </c>
    </row>
    <row r="648" ht="15.75" customHeight="1">
      <c r="J648" s="269">
        <v>28.0</v>
      </c>
    </row>
    <row r="649" ht="15.75" customHeight="1">
      <c r="J649" s="269">
        <v>16.0</v>
      </c>
    </row>
    <row r="650" ht="15.75" customHeight="1">
      <c r="J650" s="269">
        <v>7.0</v>
      </c>
    </row>
    <row r="651" ht="15.75" customHeight="1">
      <c r="J651" s="269">
        <v>7.0</v>
      </c>
    </row>
    <row r="652" ht="15.75" customHeight="1">
      <c r="J652" s="269">
        <v>7.0</v>
      </c>
    </row>
    <row r="653" ht="15.75" customHeight="1">
      <c r="J653" s="269">
        <v>7.0</v>
      </c>
    </row>
    <row r="654" ht="15.75" customHeight="1">
      <c r="J654" s="269">
        <v>7.0</v>
      </c>
    </row>
    <row r="655" ht="15.75" customHeight="1">
      <c r="J655" s="269">
        <v>7.0</v>
      </c>
    </row>
    <row r="656" ht="15.75" customHeight="1">
      <c r="J656" s="269">
        <v>36.0</v>
      </c>
    </row>
    <row r="657" ht="15.75" customHeight="1">
      <c r="J657" s="269">
        <v>67.0</v>
      </c>
    </row>
    <row r="658" ht="15.75" customHeight="1">
      <c r="J658" s="269">
        <v>46.0</v>
      </c>
    </row>
    <row r="659" ht="15.75" customHeight="1">
      <c r="J659" s="269">
        <v>7.0</v>
      </c>
    </row>
    <row r="660" ht="15.75" customHeight="1">
      <c r="J660" s="269">
        <v>7.0</v>
      </c>
    </row>
    <row r="661" ht="15.75" customHeight="1">
      <c r="J661" s="269">
        <v>6.0</v>
      </c>
    </row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</sheetData>
  <autoFilter ref="$B$9:$P$661">
    <sortState ref="B9:P661">
      <sortCondition ref="B9:B661"/>
      <sortCondition ref="C9:C661"/>
    </sortState>
  </autoFilter>
  <customSheetViews>
    <customSheetView guid="{A31E336E-5774-4B3D-82F8-2FC18C69DFF2}" filter="1" showAutoFilter="1">
      <autoFilter ref="$B$9:$P$371"/>
      <extLst>
        <ext uri="GoogleSheetsCustomDataVersion1">
          <go:sheetsCustomData xmlns:go="http://customooxmlschemas.google.com/" filterViewId="2041674330"/>
        </ext>
      </extLst>
    </customSheetView>
    <customSheetView guid="{73185844-5EF9-46FF-91E5-8940E27B5D6B}" filter="1" showAutoFilter="1">
      <autoFilter ref="$B$9:$P$371">
        <filterColumn colId="0">
          <filters>
            <filter val="M. Zurek"/>
            <filter val="Faybik"/>
            <filter val="Cantone"/>
            <filter val="Wayne"/>
            <filter val="Ryan"/>
            <filter val="Dugan"/>
            <filter val="Bill"/>
            <filter val="Foley"/>
            <filter val="Jared"/>
            <filter val="A. Zurek"/>
            <filter val="Abad"/>
            <filter val="Jason"/>
          </filters>
        </filterColumn>
      </autoFilter>
      <extLst>
        <ext uri="GoogleSheetsCustomDataVersion1">
          <go:sheetsCustomData xmlns:go="http://customooxmlschemas.google.com/" filterViewId="414082707"/>
        </ext>
      </extLst>
    </customSheetView>
    <customSheetView guid="{BEC3E6BD-A8D2-4374-8679-63859B5CDF9D}" filter="1" showAutoFilter="1">
      <autoFilter ref="$B$5:$O$335"/>
      <extLst>
        <ext uri="GoogleSheetsCustomDataVersion1">
          <go:sheetsCustomData xmlns:go="http://customooxmlschemas.google.com/" filterViewId="737238587"/>
        </ext>
      </extLst>
    </customSheetView>
  </customSheetViews>
  <mergeCells count="2">
    <mergeCell ref="B4:N4"/>
    <mergeCell ref="K8:P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3.25"/>
    <col customWidth="1" min="3" max="3" width="22.88"/>
    <col customWidth="1" min="4" max="4" width="22.63"/>
  </cols>
  <sheetData>
    <row r="1">
      <c r="A1" s="175" t="s">
        <v>991</v>
      </c>
      <c r="B1" s="175" t="s">
        <v>992</v>
      </c>
      <c r="C1" s="175" t="s">
        <v>993</v>
      </c>
      <c r="D1" s="175" t="s">
        <v>994</v>
      </c>
    </row>
    <row r="2">
      <c r="A2" s="55" t="s">
        <v>79</v>
      </c>
      <c r="B2" s="55" t="s">
        <v>995</v>
      </c>
      <c r="C2" s="55" t="s">
        <v>996</v>
      </c>
      <c r="D2" s="55" t="s">
        <v>997</v>
      </c>
    </row>
    <row r="3">
      <c r="A3" s="55" t="s">
        <v>45</v>
      </c>
      <c r="B3" s="55" t="s">
        <v>998</v>
      </c>
      <c r="C3" s="55" t="s">
        <v>999</v>
      </c>
      <c r="D3" s="55" t="s">
        <v>1000</v>
      </c>
    </row>
    <row r="4">
      <c r="A4" s="55" t="s">
        <v>100</v>
      </c>
      <c r="B4" s="55" t="s">
        <v>1001</v>
      </c>
      <c r="C4" s="55" t="s">
        <v>1002</v>
      </c>
      <c r="D4" s="55" t="s">
        <v>1003</v>
      </c>
    </row>
    <row r="5">
      <c r="A5" s="55" t="s">
        <v>125</v>
      </c>
      <c r="B5" s="55" t="s">
        <v>1004</v>
      </c>
      <c r="C5" s="55" t="s">
        <v>1005</v>
      </c>
      <c r="D5" s="55" t="s">
        <v>1006</v>
      </c>
    </row>
    <row r="6">
      <c r="A6" s="55" t="s">
        <v>152</v>
      </c>
      <c r="B6" s="55" t="s">
        <v>1007</v>
      </c>
      <c r="C6" s="55" t="s">
        <v>998</v>
      </c>
      <c r="D6" s="55" t="s">
        <v>1008</v>
      </c>
    </row>
    <row r="7">
      <c r="A7" s="55" t="s">
        <v>174</v>
      </c>
      <c r="B7" s="55" t="s">
        <v>1009</v>
      </c>
      <c r="C7" s="55" t="s">
        <v>221</v>
      </c>
      <c r="D7" s="55" t="s">
        <v>1010</v>
      </c>
    </row>
    <row r="8">
      <c r="A8" s="55" t="s">
        <v>199</v>
      </c>
      <c r="B8" s="55" t="s">
        <v>1011</v>
      </c>
      <c r="C8" s="55" t="s">
        <v>1012</v>
      </c>
      <c r="D8" s="55" t="s">
        <v>1002</v>
      </c>
    </row>
    <row r="9">
      <c r="A9" s="55" t="s">
        <v>221</v>
      </c>
      <c r="B9" s="55" t="s">
        <v>1013</v>
      </c>
      <c r="C9" s="55" t="s">
        <v>1014</v>
      </c>
      <c r="D9" s="55" t="s">
        <v>1015</v>
      </c>
    </row>
    <row r="10">
      <c r="A10" s="55" t="s">
        <v>245</v>
      </c>
      <c r="B10" s="55" t="s">
        <v>1016</v>
      </c>
      <c r="C10" s="55" t="s">
        <v>1008</v>
      </c>
      <c r="D10" s="55" t="s">
        <v>1017</v>
      </c>
    </row>
    <row r="11">
      <c r="A11" s="55" t="s">
        <v>269</v>
      </c>
      <c r="B11" s="55" t="s">
        <v>1018</v>
      </c>
      <c r="C11" s="55" t="s">
        <v>1019</v>
      </c>
      <c r="D11" s="55" t="s">
        <v>996</v>
      </c>
    </row>
    <row r="12">
      <c r="A12" s="55" t="s">
        <v>297</v>
      </c>
      <c r="B12" s="55" t="s">
        <v>1020</v>
      </c>
      <c r="C12" s="55" t="s">
        <v>1021</v>
      </c>
      <c r="D12" s="55" t="s">
        <v>1019</v>
      </c>
    </row>
    <row r="13">
      <c r="A13" s="55" t="s">
        <v>341</v>
      </c>
      <c r="B13" s="55" t="s">
        <v>1022</v>
      </c>
      <c r="C13" s="55" t="s">
        <v>1023</v>
      </c>
      <c r="D13" s="55" t="s">
        <v>1024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2020-09-05T17:39:20Z</dcterms:created>
  <dc:creator>Zurek, Matthew</dc:creator>
</cp:coreProperties>
</file>